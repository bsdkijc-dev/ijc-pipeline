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_Index" sheetId="1" r:id="rId5"/>
    <sheet state="visible" name="v5_Reference_Standards" sheetId="2" r:id="rId6"/>
    <sheet state="visible" name="Master_Knowledge_Objects" sheetId="3" r:id="rId7"/>
    <sheet state="visible" name="Evidence_Provenance" sheetId="4" r:id="rId8"/>
    <sheet state="visible" name="Atomic_Claims_Graph" sheetId="5" r:id="rId9"/>
    <sheet state="visible" name="GEO_QA_Triage" sheetId="6" r:id="rId10"/>
    <sheet state="visible" name="Verification_QualityGate" sheetId="7" r:id="rId11"/>
    <sheet state="visible" name="Chat" sheetId="8" r:id="rId12"/>
    <sheet state="visible" name="Cassation_Triage_App" sheetId="9" r:id="rId13"/>
    <sheet state="visible" name="Sheet3" sheetId="10" r:id="rId14"/>
  </sheets>
  <definedNames/>
  <calcPr/>
</workbook>
</file>

<file path=xl/sharedStrings.xml><?xml version="1.0" encoding="utf-8"?>
<sst xmlns="http://schemas.openxmlformats.org/spreadsheetml/2006/main" count="853" uniqueCount="629">
  <si>
    <t>IJC v5.0 DOMAIN-AGNOSTIC JUDICIAL KNOWLEDGE TAXONOMY &amp; REFERENCE STANDARDS</t>
  </si>
  <si>
    <t>IJC UNIVERSAL JUDICIAL KNOWLEDGE OBJECT REGISTRY (v5.0)</t>
  </si>
  <si>
    <t>IJC FOUR-MODE JUDICIAL KNOWLEDGE ARCHITECTURE &amp; REPOSITORY INDEX (v5.0)</t>
  </si>
  <si>
    <t>IJC EVIDENCE &amp; FORENSIC PROVENANCE REGISTER</t>
  </si>
  <si>
    <t>Multi-Chamber (Pidana, Perdata, Agama, Militer, TUN) • Operational Modes 1-4 • Epistemic Boundaries • Human Verification</t>
  </si>
  <si>
    <t>Master Schema Definitions: Multi-Chamber Domains • Epistemic Boundaries • 15 Claim Types • Evidence Integrity • Quality Gates • Graph Relationships</t>
  </si>
  <si>
    <t>Forensically Sound Audit Trail: Raw vs Derived Evidence, Cryptographic Hash Baselines, Chain of Custody &amp; Corroboration Links</t>
  </si>
  <si>
    <t>Operational Mode (Sec. 1)</t>
  </si>
  <si>
    <t>Domain-Agnostic • Multi-Chamber • Evidence-First • Forensic Provenance • Human Verification • GEO Q&amp;A • Knowledge Graph</t>
  </si>
  <si>
    <t>Judicial Chamber (Sec. 2)</t>
  </si>
  <si>
    <t>Judicial Subdomain (Sec. 2)</t>
  </si>
  <si>
    <t>Epistemic Claim Type (Sec. 6)</t>
  </si>
  <si>
    <t>Evidence Status &amp; Epistemic Boundary (Sec. 7)</t>
  </si>
  <si>
    <t>Quality Gate &amp; Safeguards (Sec. 22)</t>
  </si>
  <si>
    <t>Knowledge Graph Relationship (Sec. 11)</t>
  </si>
  <si>
    <t>Knowledge ID</t>
  </si>
  <si>
    <t>MODE 1 — BHT KNOWLEDGE</t>
  </si>
  <si>
    <t>Knowledge Title</t>
  </si>
  <si>
    <t>PIDANA</t>
  </si>
  <si>
    <t>Pidana Umum</t>
  </si>
  <si>
    <t>FACT</t>
  </si>
  <si>
    <t>Operational Mode</t>
  </si>
  <si>
    <t>OBSERVED</t>
  </si>
  <si>
    <t>PASS</t>
  </si>
  <si>
    <t>APPLIES</t>
  </si>
  <si>
    <t>Chamber</t>
  </si>
  <si>
    <t>Evidence ID</t>
  </si>
  <si>
    <t>MODE 2 — TRIAL KNOWLEDGE</t>
  </si>
  <si>
    <t>Domain / Subdomain</t>
  </si>
  <si>
    <t>PERDATA</t>
  </si>
  <si>
    <t>Pidana Khusus</t>
  </si>
  <si>
    <t>Primary Entity</t>
  </si>
  <si>
    <t>ALLEGATION</t>
  </si>
  <si>
    <t>Entity Type</t>
  </si>
  <si>
    <t>INFERRED</t>
  </si>
  <si>
    <t>NEEDS REVIEW</t>
  </si>
  <si>
    <t>Jurisdiction / Institution</t>
  </si>
  <si>
    <t>INTERPRETS</t>
  </si>
  <si>
    <t>Case / File Reference</t>
  </si>
  <si>
    <t>MODE 3 — CASSATION TRIAGE</t>
  </si>
  <si>
    <t>AGAMA</t>
  </si>
  <si>
    <t>Source-Derived Definition</t>
  </si>
  <si>
    <t>Cybercrime</t>
  </si>
  <si>
    <t>Evidence Type</t>
  </si>
  <si>
    <t>ARGUMENT</t>
  </si>
  <si>
    <t>Established (Proven Fact)</t>
  </si>
  <si>
    <t>VERIFIED</t>
  </si>
  <si>
    <t>Artefak / Evidence Description</t>
  </si>
  <si>
    <t>Supported Inference</t>
  </si>
  <si>
    <t>INSUFFICIENT EVIDENCE</t>
  </si>
  <si>
    <t>Epistemic Status</t>
  </si>
  <si>
    <t>CITES</t>
  </si>
  <si>
    <t>Unknown / Not Established</t>
  </si>
  <si>
    <t>Source System / Origin</t>
  </si>
  <si>
    <t>MODE 4 — JUDICIAL LEARNING</t>
  </si>
  <si>
    <t>Confidentiality</t>
  </si>
  <si>
    <t>MILITER</t>
  </si>
  <si>
    <t>Acquisition Method</t>
  </si>
  <si>
    <t>Corruption (Tipikor)</t>
  </si>
  <si>
    <t>AI-Readiness</t>
  </si>
  <si>
    <t>LEGAL_RULE</t>
  </si>
  <si>
    <t>SHA-256 Hash Baseline</t>
  </si>
  <si>
    <t>Review Status</t>
  </si>
  <si>
    <t>DISPUTED</t>
  </si>
  <si>
    <t>Hash Verified?</t>
  </si>
  <si>
    <t>Knowledge Grapher</t>
  </si>
  <si>
    <t>PUBLIC</t>
  </si>
  <si>
    <t>Chain of Custody Record</t>
  </si>
  <si>
    <t>FOLLOWS</t>
  </si>
  <si>
    <t>Verified At</t>
  </si>
  <si>
    <t>Transformation History</t>
  </si>
  <si>
    <t>Corroboration Link</t>
  </si>
  <si>
    <t>Evidentiary Limitation</t>
  </si>
  <si>
    <t>IJC-BHT-001</t>
  </si>
  <si>
    <t>Verification Status</t>
  </si>
  <si>
    <t>IJC-EVD-001</t>
  </si>
  <si>
    <t>Pembuktian Integritas File Melalui Cryptographic Hash SHA-256</t>
  </si>
  <si>
    <t>TUN</t>
  </si>
  <si>
    <t>RAW</t>
  </si>
  <si>
    <t>Narcotics</t>
  </si>
  <si>
    <t>PROCEDURAL_RULE</t>
  </si>
  <si>
    <t>UNKNOWN</t>
  </si>
  <si>
    <t>TOTAL KNOWLEDGE OBJECTS</t>
  </si>
  <si>
    <t>INTERNAL</t>
  </si>
  <si>
    <t>DISTINGUISHES</t>
  </si>
  <si>
    <t>PAJAK</t>
  </si>
  <si>
    <t>Money Laundering (TPPU)</t>
  </si>
  <si>
    <t>JUDICIAL_FINDING</t>
  </si>
  <si>
    <t>Established Fact</t>
  </si>
  <si>
    <t>RESTRICTED</t>
  </si>
  <si>
    <t>RELATED_TO</t>
  </si>
  <si>
    <t>PERSAINGAN USAHA</t>
  </si>
  <si>
    <t>Perdata Umum</t>
  </si>
  <si>
    <t>JUDICIAL_REASONING</t>
  </si>
  <si>
    <t>CONFIDENTIAL</t>
  </si>
  <si>
    <t>SIMILAR_TO</t>
  </si>
  <si>
    <t>Perdata Khusus</t>
  </si>
  <si>
    <t>HOLDING</t>
  </si>
  <si>
    <t>Disputed Allegation</t>
  </si>
  <si>
    <t>SENSITIVE</t>
  </si>
  <si>
    <t>CONTRASTS_WITH</t>
  </si>
  <si>
    <t>Bankruptcy (Kepailitan &amp; PKPU)</t>
  </si>
  <si>
    <t>RATIO</t>
  </si>
  <si>
    <t>Not Established / Unknown</t>
  </si>
  <si>
    <t>Decision Support Only</t>
  </si>
  <si>
    <t>DERIVED_FROM</t>
  </si>
  <si>
    <t>Industrial Relations (PHI)</t>
  </si>
  <si>
    <t>PRACTICE</t>
  </si>
  <si>
    <t>Non-Binding Triage</t>
  </si>
  <si>
    <t>SUPPORTS</t>
  </si>
  <si>
    <t>Intellectual Property (HAKI)</t>
  </si>
  <si>
    <t>POLICY</t>
  </si>
  <si>
    <t>No Outcome Prediction</t>
  </si>
  <si>
    <t>CHALLENGES</t>
  </si>
  <si>
    <t>Competition Law (KPPU)</t>
  </si>
  <si>
    <t>COMPARATIVE</t>
  </si>
  <si>
    <t>Human Review Required</t>
  </si>
  <si>
    <t>Physical Bitstream Clone SSD Workstation Procurement</t>
  </si>
  <si>
    <t>IMPLEMENTS</t>
  </si>
  <si>
    <t>Perkawinan</t>
  </si>
  <si>
    <t>INFERENCE</t>
  </si>
  <si>
    <t>Verified Gatekeeper</t>
  </si>
  <si>
    <t>REPLACES</t>
  </si>
  <si>
    <t>Waris</t>
  </si>
  <si>
    <t>OPINION</t>
  </si>
  <si>
    <t>Zero Hallucination Traceability</t>
  </si>
  <si>
    <t>COMPARED_WITH</t>
  </si>
  <si>
    <t>Wakaf &amp; Hibah</t>
  </si>
  <si>
    <t>Evidence-First Pipeline</t>
  </si>
  <si>
    <t>TEACHES</t>
  </si>
  <si>
    <t>Ekonomi Syariah</t>
  </si>
  <si>
    <t>Jinayah Aceh</t>
  </si>
  <si>
    <t>Pidana Militer</t>
  </si>
  <si>
    <t>Pidana Khusus / Cybercrime</t>
  </si>
  <si>
    <t>Cryptographic Hash &amp; Integrity Baseline</t>
  </si>
  <si>
    <t>Military Judicial Procedure</t>
  </si>
  <si>
    <t>Forensic Procedure</t>
  </si>
  <si>
    <t>Indonesia (Mahkamah Agung RI)</t>
  </si>
  <si>
    <t>Putusan No. 45/Pid.Sus/2026/PN.Jkt.Pst (BHT)</t>
  </si>
  <si>
    <t>Administrative Disputes (Sengketa TUN)</t>
  </si>
  <si>
    <t>Message digest 256-bit untuk memvalidasi konsistensi data bit-per-bit sejak baseline akuisisi (NIST FIPS 180-4 / Bab 4-5).</t>
  </si>
  <si>
    <t>Integritas bit data tidak berubah sejak baseline hash dicatat.</t>
  </si>
  <si>
    <t>Government Decisions / Actions</t>
  </si>
  <si>
    <t>Endpoint Hardware (Internal SSD)</t>
  </si>
  <si>
    <t>Tax Disputes (Pengadilan Pajak)</t>
  </si>
  <si>
    <t>Bitstream Physical Clone (Hardware Write-Blocker)</t>
  </si>
  <si>
    <t>Domain-Agnostic / Future Extension</t>
  </si>
  <si>
    <t>e3b0c44298fc1c149afbf4c8996fb92427ae41e4649b934ca495991b7852b855</t>
  </si>
  <si>
    <t>Forensic image identik dengan bitstream saat akuisisi.</t>
  </si>
  <si>
    <t>Kebenaran isi file, motif pelaku, atau legalitas cara perolehan.</t>
  </si>
  <si>
    <t>VERIFIED MATCH</t>
  </si>
  <si>
    <t>COC-2026-001: Disita Ditreskrimsus, Diserahkan Puslabfor</t>
  </si>
  <si>
    <t>None (Raw Bitstream)</t>
  </si>
  <si>
    <t>EVID-002 (Log IdP Okta)</t>
  </si>
  <si>
    <t>Membuktikan integritas drive; tidak membuktikan kendali fisik saat akses</t>
  </si>
  <si>
    <t>AI-Ready (Traceable)</t>
  </si>
  <si>
    <t>IJC-EVD-002</t>
  </si>
  <si>
    <t>Cecep Mustafa</t>
  </si>
  <si>
    <t>NORMALIZED</t>
  </si>
  <si>
    <t>IdP Cloud Authentication Audit Logs (CSV Export)</t>
  </si>
  <si>
    <t>IJC-TRL-002</t>
  </si>
  <si>
    <t>Pemeriksaan Modus Voice Cloning &amp; Impersonasi Transfer Dana</t>
  </si>
  <si>
    <t>Identity Provider (Okta Cloud)</t>
  </si>
  <si>
    <t>API JSON Audit Log Export (TLS 1.3)</t>
  </si>
  <si>
    <t>8f434346648f6b96df89dda901c5176b10a6d83961dd3c1ac88b59b2dc327aa4</t>
  </si>
  <si>
    <t>COC-2026-002: Export disaksikan Tim IR Internal &amp; Legal</t>
  </si>
  <si>
    <t>Voice Cloning Vishing</t>
  </si>
  <si>
    <t>UTC Timestamps normalized to WIB (UTC+7)</t>
  </si>
  <si>
    <t>Cyber Crime Modus</t>
  </si>
  <si>
    <t>PN Jakarta Pusat</t>
  </si>
  <si>
    <t>Perkara No. 112/Pid.Sus/2026 (Sedang Berjalan)</t>
  </si>
  <si>
    <t>EVID-001 (Endpoint)</t>
  </si>
  <si>
    <t>Sintesis suara tiruan menggunakan model generatif untuk memanipulasi kepercayaan otoritas finansial (Bab 2 &amp; 6).</t>
  </si>
  <si>
    <t>Panggilan suara masuk tercatat pada Call Detail Record &amp; transfer dana Rp480jt terjadi.</t>
  </si>
  <si>
    <t>Final &amp; Binding Cases (Inkracht)</t>
  </si>
  <si>
    <t>Representasi suara mengarahkan staf melakukan pemindahan dana darurat.</t>
  </si>
  <si>
    <t>Identitas operator sistem sintesis suara dan penguasaan rekening mule.</t>
  </si>
  <si>
    <t>Membuktikan akun login berhasil; tidak membuktikan identitas pengetik</t>
  </si>
  <si>
    <t>IJC-EVD-003</t>
  </si>
  <si>
    <t>Audio Recording Panggilan Masuk Suara Direktur (WAV native)</t>
  </si>
  <si>
    <t>PBX / VoIP Recording Server</t>
  </si>
  <si>
    <t>Native Server Export via Legal Hold</t>
  </si>
  <si>
    <t>4b227777d4dd1fc61c6f884f48641d02b4d121d3fd328cb08b5531fcacdabf8a</t>
  </si>
  <si>
    <t>Pending First Instance Trials</t>
  </si>
  <si>
    <t>COC-2026-003: Diekstrak Admin PBX dengan Hash Baseline</t>
  </si>
  <si>
    <t>None (Uncompressed PCM 16-bit 44.1kHz)</t>
  </si>
  <si>
    <t>EVID-004 (CDR Operator Telko)</t>
  </si>
  <si>
    <t>Membuktikan audio diterima; belum membuktikan apakah hasil AI clone</t>
  </si>
  <si>
    <t>Law vs Fact Initial Pemilahan</t>
  </si>
  <si>
    <t>IJC-CAS-003</t>
  </si>
  <si>
    <t>IJC-EVD-004</t>
  </si>
  <si>
    <t>Pemilahan Kasasi: Keabsahan Akuisisi Bukti Elektronik vs Penilaian Fakta</t>
  </si>
  <si>
    <t>Call Detail Record (CDR) Operator Seluler Telekomunikasi</t>
  </si>
  <si>
    <t>Training, Modules &amp; E-Learning</t>
  </si>
  <si>
    <t>Telco Provider Switching System</t>
  </si>
  <si>
    <t>Permintaan Resmi Penyidik (Pasal 242 KUHAP 2025)</t>
  </si>
  <si>
    <t>7d793037a0760186574b0282f2f435e70d73a4451ec6e7fc64b2a0836f47b235</t>
  </si>
  <si>
    <t>COC-2026-004: Penyerahan Resmi Divisi Regulasi Operator</t>
  </si>
  <si>
    <t>Data clearing house extraction</t>
  </si>
  <si>
    <t>Universal Multi-Chamber Registry</t>
  </si>
  <si>
    <t>EVID-003 (VoIP native)</t>
  </si>
  <si>
    <t>Membuktikan panggilan terhubung; Caller ID menunjukkan indikasi spoofing</t>
  </si>
  <si>
    <t>Pidana Khusus / Hukum Acara</t>
  </si>
  <si>
    <t>IJC-EVD-005</t>
  </si>
  <si>
    <t>Electronic Evidence Admissibility (UU ITE &amp; KUHAP 2025)</t>
  </si>
  <si>
    <t>AI-ANALYSED</t>
  </si>
  <si>
    <t>Legal Rule &amp; Triage</t>
  </si>
  <si>
    <t>MA RI - Kamar Pidana</t>
  </si>
  <si>
    <t>Laporan Analisis Deteksi Sintetis Deepfake Video 48 Detik</t>
  </si>
  <si>
    <t>Berkas Kasasi No. 89 K/Pid.Sus/2026</t>
  </si>
  <si>
    <t>Pengujian hukum Pasal 5-6 UU ITE &amp; Pasal 235-242 KUHAP baru: pembedaan syarat keabsahan bukti elektronik dari fakta.</t>
  </si>
  <si>
    <t>Deepfake Detection Tool Ensemble v2.4</t>
  </si>
  <si>
    <t>Ekstraksi log diperoleh tanpa berita acara penyitaan dan tanpa izin penggeledahan.</t>
  </si>
  <si>
    <t>Automated Multimodal Model Inference</t>
  </si>
  <si>
    <t>12ca17b49af2289436f303e0166030a21e525d73af20108f430a6ec3a493aef8</t>
  </si>
  <si>
    <t>Potensi pelanggaran due process of law dalam akuisisi bukti digital.</t>
  </si>
  <si>
    <t>COC-2026-005: Dihasilkan Laboratorium Forensik Digital</t>
  </si>
  <si>
    <t>Apakah pelanggaran akuisisi membatalkan seluruh konstruksi dakwaan penipuan.</t>
  </si>
  <si>
    <t>Score output 0,94; segment local analysis</t>
  </si>
  <si>
    <t>EVID-006 (CCTV Rapat Direksi)</t>
  </si>
  <si>
    <t>Skor 0,94 adalah probabilitas model, bukan kepastian hukum terdakwa</t>
  </si>
  <si>
    <t>IJC-EVD-006</t>
  </si>
  <si>
    <t>Rekaman CCTV Ruang Rapat Direksi pada Waktu Kejadian</t>
  </si>
  <si>
    <t>CCTV Standalone DVR Hikvision</t>
  </si>
  <si>
    <t>Penyitaan Fisik DVR &amp; Akuisisi Forensik Bitstream</t>
  </si>
  <si>
    <t>6a5b88b010b9cd1d37b12f6e80b2a3a5b6c7d8e9f0a1b2c3d4e5f6a7b8c9d0e1</t>
  </si>
  <si>
    <t>IJC-LRN-004</t>
  </si>
  <si>
    <t>SYSTEM INTEGRITY &amp; KNOWLEDGE METRICS</t>
  </si>
  <si>
    <t>Modul Pengujian Deepfake di Persidangan: 7 Pertanyaan Dasar Hakim</t>
  </si>
  <si>
    <t>COC-2026-006: Segel Bukti No. 44/CCTV/2026</t>
  </si>
  <si>
    <t>None (Native H.264 video stream)</t>
  </si>
  <si>
    <t>EVID-005 (Video Deepfake WhatsApp)</t>
  </si>
  <si>
    <t>Membuktikan Direktur sedang rapat fisik; membantah keterlibatan call</t>
  </si>
  <si>
    <t>IJC-EVD-007</t>
  </si>
  <si>
    <t>Yudisial Siber &amp; Hukum Pembuktian</t>
  </si>
  <si>
    <t>TRANSCRIPT</t>
  </si>
  <si>
    <t>Judicial Deepfake Examination Protocol</t>
  </si>
  <si>
    <t>Transkrip Percakapan Telepon Modus Vishing Berbantuan AI</t>
  </si>
  <si>
    <t>Judicial Practice &amp; Training</t>
  </si>
  <si>
    <t>Pusdiklat Teknis Peradilan MA</t>
  </si>
  <si>
    <t>AI Speech-to-Text Whisper-v3 + Verifikasi Manual</t>
  </si>
  <si>
    <t>Modul Diklat Hakim Siber-AI 2026</t>
  </si>
  <si>
    <t>Automated Transcribe &amp; Investigator Ground-Truth Audit</t>
  </si>
  <si>
    <t>9f86d081884c7d659a2feaa0c55ad015a3bf4f1b2b0b822cd15d6c15b0f00a08</t>
  </si>
  <si>
    <t>Kerangka uji komprehensif hakim terhadap alat bukti sintetis: Sumber, Perolehan, Sistem, Integritas, Reprodusibilitas, Koroborasi, Limitasi.</t>
  </si>
  <si>
    <t>COC-2026-007: Lampiran Berita Acara Pemeriksaan Saksi</t>
  </si>
  <si>
    <t>Deepfake detector score 0,94 tidak sama dengan 94% kepastian hukum kesalahan terdakwa.</t>
  </si>
  <si>
    <t>Audio diubah menjadi teks verbatim berstempel waktu</t>
  </si>
  <si>
    <t>EVID-003 (Audio WAV)</t>
  </si>
  <si>
    <t>Transkrip adalah derived evidence; rekaman audio tetap bukti primer</t>
  </si>
  <si>
    <t>Pemeriksaan frame-by-frame dan verifikasi CCTV independen mereduksi risiko bias detector.</t>
  </si>
  <si>
    <t>Generalisasi detector terhadap video terkompresi tanpa validasi dataset pembanding.</t>
  </si>
  <si>
    <t>IJC ARCHITECTURE SYSTEM NAVIGATION</t>
  </si>
  <si>
    <t>IJC-EVD-008</t>
  </si>
  <si>
    <t>COPY</t>
  </si>
  <si>
    <t>Tangkapan Layar Pesan Chat WhatsApp Instruksi Transfer (PNG)</t>
  </si>
  <si>
    <t>AI-Ready (Educational)</t>
  </si>
  <si>
    <t>Perangkat Seluler Saksi Korban (Samsung S23)</t>
  </si>
  <si>
    <t>Screenshot Layar Manual oleh Saksi Korban</t>
  </si>
  <si>
    <t>5e884898da28047151d0e56f8dc6292773603d0d6aabbdd62a11ef721d1542d8</t>
  </si>
  <si>
    <t>COC-2026-008: Diserahkan Pelapor saat LP Awal</t>
  </si>
  <si>
    <t>PNG Screen capture 1080x2340</t>
  </si>
  <si>
    <t>EVID-009 (Export SQLite WhatsApp)</t>
  </si>
  <si>
    <t>IJC-BHT-005</t>
  </si>
  <si>
    <t>Hanya memotret visual layar; rentan rekayasa nama kontak &amp; potong pesan</t>
  </si>
  <si>
    <t>Standar Pemisahan Raw Evidence dan Derived Evidence dalam Forensik</t>
  </si>
  <si>
    <t>IJC-EVD-009</t>
  </si>
  <si>
    <t>Database Pesan Terenkripsi WhatsApp (msgstore.db.crypt14)</t>
  </si>
  <si>
    <t>Filesystem Android Internal Storage</t>
  </si>
  <si>
    <t>Pidana Khusus / Forensik Digital</t>
  </si>
  <si>
    <t>Advanced Logical ADB Backup dengan Kunci Dekripsi</t>
  </si>
  <si>
    <t>Evidence Preservation &amp; Provenance</t>
  </si>
  <si>
    <t>2c26b46b68ffc68ff99b453c1d30413413422d706483bfa0f98a5e886266e7ae</t>
  </si>
  <si>
    <t>Forensic Standard</t>
  </si>
  <si>
    <t>Metric Component</t>
  </si>
  <si>
    <t>COC-2026-009: Akuisisi Forensik Mobile Puslabfor</t>
  </si>
  <si>
    <t>Terkunci kunci kriptografi private perangkat</t>
  </si>
  <si>
    <t>Putusan No. 78/Pid.B/2026/PN.Bdg (BHT)</t>
  </si>
  <si>
    <t>EVID-008 (Screenshot PNG)</t>
  </si>
  <si>
    <t>Prinsip pemisahan permanen antara bukti asli (raw) dan hasil olahan (normalized, transkrip, enhancement, AI-analyzed) untuk auditability.</t>
  </si>
  <si>
    <t>Membuktikan pesan tersimpan lokal; belum membuktikan penguasaan akun</t>
  </si>
  <si>
    <t>File raw forensic image disimpan read-only dengan SHA-256 baseline terverifikasi.</t>
  </si>
  <si>
    <t>IJC-EVD-010</t>
  </si>
  <si>
    <t>Hasil transkrip AI speech-to-text dapat diaudit ulang ke rekaman audio sumber.</t>
  </si>
  <si>
    <t>Kebenaran narasi transkrip jika rekaman sumber mengalami kerusakan sektor.</t>
  </si>
  <si>
    <t>Log Alamat IP Exit Node Proxy Penyerang (185.220.101.5)</t>
  </si>
  <si>
    <t>Operational Count</t>
  </si>
  <si>
    <t>Tor / Commercial Bulletproof VPN Gateway</t>
  </si>
  <si>
    <t>Open Source SOC Threat Intelligence Feed</t>
  </si>
  <si>
    <t>03ac674216f3e15c761ee1a5e255f067953623c8b388b4459e13f978d7c846f4</t>
  </si>
  <si>
    <t>UNVERIFIED / PENDING</t>
  </si>
  <si>
    <t>COC-2026-010: Telemetri SOC Eksternal</t>
  </si>
  <si>
    <t>Target / Integrity Benchmark</t>
  </si>
  <si>
    <t>Third-party enrichment observable</t>
  </si>
  <si>
    <t>IJC-TRL-006</t>
  </si>
  <si>
    <t>EVID-002 (IdP Log)</t>
  </si>
  <si>
    <t>Korelasi Multi-Artefak Phishing-to-Account Takeover</t>
  </si>
  <si>
    <t>Alamat IP publik bukan identitas manusia; exit node dipakai banyak pihak</t>
  </si>
  <si>
    <t>Account Takeover (ATO) &amp; Session Hijacking</t>
  </si>
  <si>
    <t>Investigation Methodology</t>
  </si>
  <si>
    <t>Tab / Workspace Name</t>
  </si>
  <si>
    <t>PN Surabaya</t>
  </si>
  <si>
    <t>Perkara No. 204/Pid.Sus/2026</t>
  </si>
  <si>
    <t>Pengambilalihan kendali akun melalui pencurian session cookie atau relay OTP tanpa modifikasi password akun asal (Bab 3).</t>
  </si>
  <si>
    <t>Sesi web login baru aktif dari IP eksternal 4 menit setelah tautan phishing dibuka korban.</t>
  </si>
  <si>
    <t>Primary Architectural Function</t>
  </si>
  <si>
    <t>Pencurian session cookie melewati proteksi MFA.</t>
  </si>
  <si>
    <t>Identitas fisik individu pengendali IP exit proxy.</t>
  </si>
  <si>
    <t>Standards &amp; Guidelines Applied</t>
  </si>
  <si>
    <t>Total Atomic Claims Mapped</t>
  </si>
  <si>
    <t>IJC-CAS-007</t>
  </si>
  <si>
    <t>Pemilahan Kasasi: Penilaian Kualifikasi Ahli AI &amp; Reprodusibilitas Metodologi</t>
  </si>
  <si>
    <t>Pidana Khusus / Pembuktian Ilmiah</t>
  </si>
  <si>
    <t>AI Expert Testimony &amp; Scientific Reliability</t>
  </si>
  <si>
    <t>Procedural Rule &amp; Triage</t>
  </si>
  <si>
    <t>Berkas Kasasi No. 142 K/Pid.Sus/2026</t>
  </si>
  <si>
    <t>Kewajiban hakim sebagai gatekeeper menguji reprodusibilitas model AI, versi build, dataset kalibrasi, serta batasan error rate.</t>
  </si>
  <si>
    <t>Laporan ahli tidak menyertakan versi model detektor dan dataset evaluasi kalibrasi.</t>
  </si>
  <si>
    <t>Metodologi analisis AI tidak memenuhi standar reprodusibilitas forensik SWGDE.</t>
  </si>
  <si>
    <t>Apakah ketiadaan versi model disebabkan oleh sifat model proprietary tertutup.</t>
  </si>
  <si>
    <t>IJC-LRN-008</t>
  </si>
  <si>
    <t>Pedoman Penghentian Investigasi (Professional Stopping Rule) &amp; Privasi Data</t>
  </si>
  <si>
    <t>100% Linked to Evidence Objects</t>
  </si>
  <si>
    <t>Etika Yudisial &amp; Privasi Data</t>
  </si>
  <si>
    <t>Professional Stopping Rule &amp; PDP Compliance</t>
  </si>
  <si>
    <t>Ethics &amp; Compliance</t>
  </si>
  <si>
    <t>Pusdiklat MA &amp; Kemenkumham RI</t>
  </si>
  <si>
    <t>Panduan Teknis Investigasi Siber 2026</t>
  </si>
  <si>
    <t>Kewajiban menghentikan eksploitasi data digital ketika target melampaui surat tugas, menemukan data anak, atau melanggar UU PDP No. 27/2022.</t>
  </si>
  <si>
    <t>Master_Knowledge_Objects</t>
  </si>
  <si>
    <t>Penyidik dilarang mencoba kredensial aktif yang ditemukan di forum terbuka tanpa otorisasi sah.</t>
  </si>
  <si>
    <t>Pencegahan mission creep melindungi integritas pembuktian di sidang pengadilan.</t>
  </si>
  <si>
    <t>Batas waktu retensi seragam untuk seluruh kategori bukti elektronik.</t>
  </si>
  <si>
    <t>AI-Ready (Institutional)</t>
  </si>
  <si>
    <t>Universal Four Modes Registry &amp; Epistemic Boundaries</t>
  </si>
  <si>
    <t>IJC-CAS-009</t>
  </si>
  <si>
    <t>IJC KO v5.0 Domain-Agnostic Standard</t>
  </si>
  <si>
    <t>Pemilahan Kasasi: Penerapan Syarat Formil PKPU vs Penilaian Insolvensi Debitur</t>
  </si>
  <si>
    <t>Verified Forensic Evidence Items</t>
  </si>
  <si>
    <t>Perdata Khusus / Bankruptcy</t>
  </si>
  <si>
    <t>Insolvency Threshold &amp; Due Process (UU Kepailitan &amp; PKPU)</t>
  </si>
  <si>
    <t>MA RI - Kamar Perdata</t>
  </si>
  <si>
    <t>Berkas Kasasi No. 315 K/Pdt.Sus-Pailit/2026</t>
  </si>
  <si>
    <t>Pengujian judex juris terhadap pemenuhan syarat sederhana Pasal 8 ayat (4) UU 37/2004 vs pembuktian fakta utang.</t>
  </si>
  <si>
    <t>Debitur terbukti memiliki 2 kreditur dan 1 utang telah jatuh tempo dan dapat ditagih.</t>
  </si>
  <si>
    <t>Judex facti telah menerapkan hukum pembuktian secara benar tanpa melampaui kewenangan.</t>
  </si>
  <si>
    <t>Nilai valuasi aset likuid debitur saat permohonan PKPU didaftarkan.</t>
  </si>
  <si>
    <t>SHA-256 Bitstream Integrity Baseline</t>
  </si>
  <si>
    <t>IJC-CAS-010</t>
  </si>
  <si>
    <t>Pemilahan Kasasi: Keabsahan Keputusan Pejabat Tata Usaha Negara Berbasis Algoritma</t>
  </si>
  <si>
    <t>Evidence_Provenance</t>
  </si>
  <si>
    <t>Administrative Disputes / Algorithmic Governance</t>
  </si>
  <si>
    <t>Automated Decision Making (AUPB &amp; UU AP)</t>
  </si>
  <si>
    <t>MA RI - Kamar TUN</t>
  </si>
  <si>
    <t>Berkas Kasasi No. 54 K/TUN/2026</t>
  </si>
  <si>
    <t>Uji legalitas penerbitan KTUN otomatis melalui sistem AI terhadap asas kecermatan dan motivasi (AUPB).</t>
  </si>
  <si>
    <t>SK Penolakan Izin diterbitkan sepenuhnya oleh sistem tanpa verifikasi manusia (zero human review).</t>
  </si>
  <si>
    <t>Pelanggaran asas kecermatan dan motivasi karena ketiadaan penjelasan rasional keputusan (explainability).</t>
  </si>
  <si>
    <t>Parameter bobot teknis algoritma internal kementerian pengembang.</t>
  </si>
  <si>
    <t>Raw vs Derived Evidence &amp; SHA-256 Hashes</t>
  </si>
  <si>
    <t>NIST SP 800-86, FIPS 180-4, SWGDE 2025</t>
  </si>
  <si>
    <t>Quality Gate Pass Rate</t>
  </si>
  <si>
    <t>Zero Hallucination Quality Standard</t>
  </si>
  <si>
    <t>Atomic_Claims_Graph</t>
  </si>
  <si>
    <t>15 Decomposed Claim Types &amp; Knowledge Graph Edges</t>
  </si>
  <si>
    <t>Bidirectional Claim-Evidence Graph</t>
  </si>
  <si>
    <t>GEO Natural Language Queries Ready</t>
  </si>
  <si>
    <t>GEO_QA_Triage</t>
  </si>
  <si>
    <t>Question of Law vs Fact Triage &amp; Citations</t>
  </si>
  <si>
    <t>KUHAP 2025 Ps 235 &amp; 242, GEO Engine</t>
  </si>
  <si>
    <t>Verified Knowledge Grapher</t>
  </si>
  <si>
    <t>Human-in-the-Loop Verified Gatekeeper</t>
  </si>
  <si>
    <t>Verification_QualityGate</t>
  </si>
  <si>
    <t>Human-in-the-Loop &amp; Stopping Rule Audit</t>
  </si>
  <si>
    <t>Pass/Review/Insufficient Gate Model</t>
  </si>
  <si>
    <t>Judicial Chambers &amp; Domains Supported</t>
  </si>
  <si>
    <t>Domain-Agnostic Universal Architecture</t>
  </si>
  <si>
    <t>v5_Reference_Standards</t>
  </si>
  <si>
    <t>Multi-Chamber Taxonomies &amp; Epistemic Standards</t>
  </si>
  <si>
    <t>IJC Master Prompt v5.0 Authoritative Standard</t>
  </si>
  <si>
    <t>Interactive Applications Active</t>
  </si>
  <si>
    <t>1 App (Mode 3)</t>
  </si>
  <si>
    <t>Cassation Triage &amp; Non-Binding Judex Juris Gate</t>
  </si>
  <si>
    <t>Cassation_Triage_App</t>
  </si>
  <si>
    <t>Interactive Cassation Triage Application &amp; Docket Dossier Generator</t>
  </si>
  <si>
    <t>Mode 3 Non-Binding Decision Support Standard (IJC KO v5.0 §13)</t>
  </si>
  <si>
    <t>IJC ATOMIC CLAIMS &amp; KNOWLEDGE GRAPH RELATIONSHIPS</t>
  </si>
  <si>
    <t>Bidirectional Graph Mapping: Atomic Claims, Linked Evidence, Graph Edges &amp; Epistemic Boundaries</t>
  </si>
  <si>
    <t>Claim ID</t>
  </si>
  <si>
    <t>Atomic Claim Statement</t>
  </si>
  <si>
    <t>Claim Type</t>
  </si>
  <si>
    <t>Linked Evidence ID</t>
  </si>
  <si>
    <t>Evidence Integrity Status</t>
  </si>
  <si>
    <t>Relationship Type</t>
  </si>
  <si>
    <t>Target Knowledge Node</t>
  </si>
  <si>
    <t>Inference Boundary</t>
  </si>
  <si>
    <t>Reviewer Notes</t>
  </si>
  <si>
    <t>IJC-CLM-0001</t>
  </si>
  <si>
    <t>Nilai Cryptographic Hash SHA-256 membuktikan konsistensi bit stream, bukan kebenaran isi file.</t>
  </si>
  <si>
    <t>Cryptographic Hash Baseline</t>
  </si>
  <si>
    <t>Dikonfirmasi Putusan MA &amp; NIST FIPS 180-4</t>
  </si>
  <si>
    <t>IJC-CLM-0002</t>
  </si>
  <si>
    <t>Forensic duplicate SSD procurement terjaga utuh tanpa modifikasi stempel waktu sistem.</t>
  </si>
  <si>
    <t>Evidence Preservation</t>
  </si>
  <si>
    <t>Baseline hash cocok dengan hash perolehan</t>
  </si>
  <si>
    <t>IJC-CLM-0003</t>
  </si>
  <si>
    <t>Instruksi transfer dana via telepon menggunakan representasi suara yang meniru direktur perusahaan.</t>
  </si>
  <si>
    <t>Memerlukan pembanding audio native &amp; CDR</t>
  </si>
  <si>
    <t>IJC-CLM-0004</t>
  </si>
  <si>
    <t>Panggilan vishing berasal dari nomor yang menggunakan teknik caller ID spoofing.</t>
  </si>
  <si>
    <t>VoIP Recording Server</t>
  </si>
  <si>
    <t>Dikonfirmasi data teknis operator seluler</t>
  </si>
  <si>
    <t>IJC-CLM-0005</t>
  </si>
  <si>
    <t>Akuisisi bukti elektronik tanpa izin penggeledahan atau berita acara melanggar Pasal 235 KUHAP 2025.</t>
  </si>
  <si>
    <t>Pasal 235-242 KUHAP 2025</t>
  </si>
  <si>
    <t>Question of Law diajukan dalam memori kasasi</t>
  </si>
  <si>
    <t>IJC-CLM-0006</t>
  </si>
  <si>
    <t>Deepfake detector score 0,94 tidak boleh dijadikan alat bukti tunggal penetapan kesalahan pidana.</t>
  </si>
  <si>
    <t>Deepfake Examination Protocol</t>
  </si>
  <si>
    <t>Pusdiklat MA mewajibkan 7 uji dasar hakim</t>
  </si>
  <si>
    <t>IJC-CLM-0007</t>
  </si>
  <si>
    <t>Alibi fisik direktur dibuktikan secara independen oleh rekaman CCTV ruang rapat yang autentik.</t>
  </si>
  <si>
    <t>Video Deepfake WhatsApp</t>
  </si>
  <si>
    <t>Koroborasi silang membatalkan tuduhan kehadiran</t>
  </si>
  <si>
    <t>IJC-CLM-0008</t>
  </si>
  <si>
    <t>Hasil transkripsi otomatis AI merupakan derived evidence yang wajib dapat dilacak ke rekaman audio raw.</t>
  </si>
  <si>
    <t>Audio Native WAV</t>
  </si>
  <si>
    <t>Standar forensik SWGDE &amp; Bab 5 naskah</t>
  </si>
  <si>
    <t>IJC-CLM-0009</t>
  </si>
  <si>
    <t>Tangkapan layar WhatsApp tidak menjamin keutuhan riwayat obrolan tanpa database msgstore.db native.</t>
  </si>
  <si>
    <t>Account Takeover (ATO)</t>
  </si>
  <si>
    <t>Ditemukan indikasi pemotongan balon obrolan</t>
  </si>
  <si>
    <t>IJC GEO Q&amp;A &amp; CASSATION TRIAGE REVERSE-CITATION ENGINE</t>
  </si>
  <si>
    <t>Natural Language Judicial Query Matching, Cassation Triage Pemilahan (Question of Law vs Fact) &amp; Traceable Reverse-Citations</t>
  </si>
  <si>
    <t>Query ID</t>
  </si>
  <si>
    <t>Target Judicial Prompt / Question</t>
  </si>
  <si>
    <t>GEO Short Answer (Evidence-First)</t>
  </si>
  <si>
    <t>Cassation Triage Classification</t>
  </si>
  <si>
    <t>Linked Claim IDs</t>
  </si>
  <si>
    <t>Linked Evidence IDs</t>
  </si>
  <si>
    <t>Reverse Citation Chain</t>
  </si>
  <si>
    <t>Citation Readiness</t>
  </si>
  <si>
    <t>Judicial Safeguard &amp; Limitation</t>
  </si>
  <si>
    <t>IJC-Q-0001</t>
  </si>
  <si>
    <t>MODE 1 — BHT</t>
  </si>
  <si>
    <t>Apakah nilai hash SHA-256 yang identik otomatis membuktikan kebenaran isi dokumen atau pembuatnya?</t>
  </si>
  <si>
    <t>Tidak. Nilai cryptographic hash SHA-256 hanya membuktikan integritas konsistensi bit stream bahwa data tidak berubah sejak baseline dicatat, bukan kebenaran materiil isi atau identitas pembuat (Bab 4 &amp; 5).</t>
  </si>
  <si>
    <t>QUESTION OF LAW</t>
  </si>
  <si>
    <t>Q0001 -&gt; CLM-0001 -&gt; EVD-001 -&gt; Buku Onno W. Purbo 2026, Bab 4 Hal 85</t>
  </si>
  <si>
    <t>IJC HUMAN VERIFICATION, QUALITY GATE &amp; STOPPING RULE AUDIT</t>
  </si>
  <si>
    <t>Verified Knowledge Grapher: Cecep Mustafa • Evidence-First Gatekeeper Protocol • Zero-Hallucination Audit</t>
  </si>
  <si>
    <t>CITATION READY</t>
  </si>
  <si>
    <t>Membuktikan konsistensi data; tidak membuktikan niat atau legalitas perolehan.</t>
  </si>
  <si>
    <t>Gate Check ID</t>
  </si>
  <si>
    <t>Audit Dimension</t>
  </si>
  <si>
    <t>Verification Standard / Requirement</t>
  </si>
  <si>
    <t>IJC-Q-0002</t>
  </si>
  <si>
    <t>Operational Protocol / Test Action</t>
  </si>
  <si>
    <t>Review Scope</t>
  </si>
  <si>
    <t>Gate Status</t>
  </si>
  <si>
    <t>MODE 2 — TRIAL</t>
  </si>
  <si>
    <t>Stopping Rule Trigger Condition</t>
  </si>
  <si>
    <t>Audit Sign-Off &amp; Verification Note</t>
  </si>
  <si>
    <t>Apakah rekaman audio suara mirip direktur cukup untuk membuktikan tindak pidana vishing tanpa koroborasi?</t>
  </si>
  <si>
    <t>GATE-01</t>
  </si>
  <si>
    <t>Source Traceability</t>
  </si>
  <si>
    <t>Setiap klaim materiil dan objek pengetahuan wajib memiliki tautan sumber primer eksplisit, bab/pasal, dan institusi penerbit.</t>
  </si>
  <si>
    <t>Tidak. Deteksi sintesis suara dan identifikasi pembicara adalah dua hal berbeda; rekaman audio wajib dikoroborasikan dengan Call Detail Record (CDR), identitas aliran dana, dan log operator (Bab 2 &amp; 6).</t>
  </si>
  <si>
    <t>Audit tautan ke buku Onno W. Purbo 2026, UU ITE, KUHAP 2025, dan putusan resmi</t>
  </si>
  <si>
    <t>QUESTION OF FACT</t>
  </si>
  <si>
    <t>IJC-CLM-0003, IJC-CLM-0004</t>
  </si>
  <si>
    <t>IJC-EVD-003, IJC-EVD-004</t>
  </si>
  <si>
    <t>Q0002 -&gt; CLM-0003 -&gt; EVD-003,004 -&gt; Bab 2 Hal 32 &amp; Bab 6 Hal 122</t>
  </si>
  <si>
    <t>ALL MODES</t>
  </si>
  <si>
    <t>Perkara yang sedang berjalan dilarang menghasilkan prediksi vonis hakim.</t>
  </si>
  <si>
    <t>IJC-Q-0003</t>
  </si>
  <si>
    <t>Apakah perolehan bukti elektronik tanpa surat izin penggeledahan dan berita acara penyitaan melanggar hukum acara?</t>
  </si>
  <si>
    <t>Ya. Berdasarkan Pasal 235 ayat (5) dan Pasal 242 KUHAP baru (UU No. 20/2025), alat bukti elektronik yang diperoleh secara melawan hukum (unlawfully obtained) tidak memiliki kekuatan pembuktian.</t>
  </si>
  <si>
    <t>Jika sumber primer tidak dapat diidentifikasi secara independen</t>
  </si>
  <si>
    <t>100% klaim tertaut pada pasal, standar SWGDE/NIST, atau bab buku referensi.</t>
  </si>
  <si>
    <t>Q0003 -&gt; CLM-0005 -&gt; EVD-002 -&gt; KUHAP 2025 Ps 235 &amp; Bab 8 Hal 180</t>
  </si>
  <si>
    <t>GATE-02</t>
  </si>
  <si>
    <t>Triage kasasi hanya memetakan isu penerapan hukum (Judex Juris), bukan memutus pokok perkara.</t>
  </si>
  <si>
    <t>Epistemic Boundary</t>
  </si>
  <si>
    <t>IJC-Q-0004</t>
  </si>
  <si>
    <t>MODE 4 — LEARNING</t>
  </si>
  <si>
    <t>Wajib memisahkan secara ketat: FACT vs DATA vs EVIDENCE vs INFERENCE vs OPINION vs UNKNOWN.</t>
  </si>
  <si>
    <t>Bagaimana hakim menguji laporan ahli AI deteksi deepfake video di persidangan?</t>
  </si>
  <si>
    <t>Periksa kolom Inference Boundary pada Master Registry dan Atomic Claims</t>
  </si>
  <si>
    <t>Hakim menerapkan 7 Pertanyaan Dasar: Sumber, Cara Perolehan, Sistem/Model &amp; Versi, Integritas, Reprodusibilitas, Koroborasi Bukti Independen, dan Limitasi. Skor detektor 0,94 bukan vonis bersalah (Bab 9).</t>
  </si>
  <si>
    <t>NOT APPLICABLE (LEARNING)</t>
  </si>
  <si>
    <t>IJC-CLM-0006, IJC-CLM-0007</t>
  </si>
  <si>
    <t>IJC-EVD-005, IJC-EVD-006</t>
  </si>
  <si>
    <t>Q0004 -&gt; CLM-0006 -&gt; EVD-005,006 -&gt; Bab 9 Hal 198 &amp; Lampiran G</t>
  </si>
  <si>
    <t>Pedoman pelatihan yudisial Pusdiklat MA; bukan putusan kasasi mengikat.</t>
  </si>
  <si>
    <t>Jika AI mengubah inferensi atau indikator teknis menjadi tuduhan pidana</t>
  </si>
  <si>
    <t>IJC-Q-0005</t>
  </si>
  <si>
    <t>Semua kesimpulan teknis memiliki batasan 'Established' vs 'Not Established'.</t>
  </si>
  <si>
    <t>Apakah keberatan kasasi terkait hasil uji ahli deepfake merupakan Question of Law atau Fact?</t>
  </si>
  <si>
    <t>GATE-03</t>
  </si>
  <si>
    <t>Hash &amp; Integrity Baseline</t>
  </si>
  <si>
    <t>Integritas bukti digital diverifikasi dengan perbandingan SHA-256 hash baseline, bukan sekadar tanda tangan administratif.</t>
  </si>
  <si>
    <t>Jika menyangkut penilaian bobot pembuktian dan kredibilitas visual, itu adalah Question of Fact (Judex Facti). Jika menyangkut syarat keabsahan kualifikasi ahli dan ketiadaan izin, itu Question of Law (Judex Juris).</t>
  </si>
  <si>
    <t>Validasi nilai 64-karakter heksadesimal hash pada Evidence Register</t>
  </si>
  <si>
    <t>MIXED / UNCLEAR</t>
  </si>
  <si>
    <t>IJC-CLM-0005, IJC-CLM-0006</t>
  </si>
  <si>
    <t>Jika file diubah tanpa dokumentasi transformasi atau hash tidak cocok</t>
  </si>
  <si>
    <t>Hash SHA-256 terbukti memverifikasi integritas bitstream tanpa klaim palsu isi.</t>
  </si>
  <si>
    <t>Q0005 -&gt; CLM-0005 -&gt; EVD-005 -&gt; Bab 8 Hal 191 &amp; Bab 9 Hal 205</t>
  </si>
  <si>
    <t>GATE-04</t>
  </si>
  <si>
    <t>Chain of Custody Completeness</t>
  </si>
  <si>
    <t>Triage safeguard aktif: rekomendasi klasifikasi non-binding untuk majelis hakim agung.</t>
  </si>
  <si>
    <t>Setiap perpindahan, penyimpanan, dan analisis bukti digital wajib memiliki nomor form CoC dan identitas petugas.</t>
  </si>
  <si>
    <t>IJC-Q-0006</t>
  </si>
  <si>
    <t>Pemeriksaan riwayat transfer dan ketiadaan jeda waktu tak terjelaskan</t>
  </si>
  <si>
    <t>MODE 1 &amp; 2</t>
  </si>
  <si>
    <t>Mengapa data olahan (derived evidence) seperti transkrip AI wajib dipisahkan dari bukti mentah (raw evidence)?</t>
  </si>
  <si>
    <t>Karena setiap transformasi digital berpotensi memunculkan distorsi makna. Bukti mentah harus disimpan utuh (read-only) agar proses dapat diaudit ulang secara independen (Bab 5).</t>
  </si>
  <si>
    <t>Jika terdapat celah penguasaan barang bukti tanpa berita acara</t>
  </si>
  <si>
    <t>Form CoC terpetakan dari penyitaan awal hingga penyimpanan forensik.</t>
  </si>
  <si>
    <t>GATE-05</t>
  </si>
  <si>
    <t>AI Role &amp; Hallucination Guard</t>
  </si>
  <si>
    <t>Hasil detektor/model AI dilarang dianggap sebagai kebenaran mutlak tanpa verifikasi manusia independen.</t>
  </si>
  <si>
    <t>Q0006 -&gt; CLM-0008 -&gt; EVD-007 -&gt; Bab 5 Hal 106 &amp; SWGDE 2025</t>
  </si>
  <si>
    <t>Pemeriksaan 7 Uji Dasar Hakim terhadap laporan deteksi deepfake</t>
  </si>
  <si>
    <t>MODE 2, 3, 4</t>
  </si>
  <si>
    <t>Transkrip derived tidak boleh menggantikan rekaman primer.</t>
  </si>
  <si>
    <t>Jika skor probabilitas model (misal 0,94) dikonversi menjadi vonis hukum</t>
  </si>
  <si>
    <t>IJC-Q-0007</t>
  </si>
  <si>
    <t>Human-in-the-loop ditegakkan: skor AI hanya indikator teknis pendukung.</t>
  </si>
  <si>
    <t>Apakah tangkapan layar percakapan WhatsApp berdiri sendiri memenuhi syarat Pasal 6 UU ITE?</t>
  </si>
  <si>
    <t>GATE-06</t>
  </si>
  <si>
    <t>Professional Stopping Rule</t>
  </si>
  <si>
    <t>Tidak sepenuhnya. Screenshot adalah representasi visual yang rentan dipotong atau direkayasa; keutuhannya dijamin jika didukung rekaman database native (msgstore.db) atau data platform resmi (Bab 4 &amp; 10).</t>
  </si>
  <si>
    <t>Investigasi wajib segera dihentikan apabila menemukan data anak, kredensial aktif, atau melampaui surat tugas.</t>
  </si>
  <si>
    <t>Pemeriksaan kepatuhan UU PDP No. 27/2022 dan batasan wewenang penyidikan</t>
  </si>
  <si>
    <t>MODE 2 &amp; 4</t>
  </si>
  <si>
    <t>IJC-EVD-008, IJC-EVD-009</t>
  </si>
  <si>
    <t>Eksploitasi data melampaui izin formal atau menyentuh kredensial aktif</t>
  </si>
  <si>
    <t>Q0007 -&gt; CLM-0009 -&gt; EVD-008,009 -&gt; Bab 4 Hal 78 &amp; Bab 10 Hal 237</t>
  </si>
  <si>
    <t>Prinsip stopping rule diterapkan pada analisis OSINT dan akuisisi memori.</t>
  </si>
  <si>
    <t>NEEDS HUMAN REVIEW</t>
  </si>
  <si>
    <t>GATE-07</t>
  </si>
  <si>
    <t>Memerlukan audit forensik perangkat telepon pelapor.</t>
  </si>
  <si>
    <t>GEO Reverse Citation Chain</t>
  </si>
  <si>
    <t>Setiap jawaban tanya-jawab alami (GEO) wajib dapat dirunut balik secara utuh: Q -&gt; A -&gt; Claim -&gt; Evidence -&gt; Source.</t>
  </si>
  <si>
    <t>IJC-Q-0008</t>
  </si>
  <si>
    <t>Uji keterlacakan mundur pada tab GEO_QA_Triage</t>
  </si>
  <si>
    <t>Kapan investigator siber wajib menerapkan Professional Stopping Rule?</t>
  </si>
  <si>
    <t>Rantai lacak balik terputus pada level klaim atau bukti</t>
  </si>
  <si>
    <t>Investigator wajib segera menghentikan eksplorasi saat target melampaui surat tugas, menemukan data pribadi anak, kredensial aktif, atau ketiadaan otorisasi sah sesuai UU PDP (Bab 7).</t>
  </si>
  <si>
    <t>Seluruh 8 query memiliki rantai sitasi lengkap hingga referensi halaman/pasal.</t>
  </si>
  <si>
    <t>GATE-08</t>
  </si>
  <si>
    <t>Cassation Triage Safeguard</t>
  </si>
  <si>
    <t>Triage berkas kasasi hanya berfungsi sebagai decision support pemilahan isu hukum vs fakta, dilarang menyarankan vonis.</t>
  </si>
  <si>
    <t>Audit teks ringkasan triage untuk memastikan tidak ada prediksi putusan</t>
  </si>
  <si>
    <t>Q0008 -&gt; CLM-0008 -&gt; EVD-001 -&gt; Bab 7 Hal 160 &amp; UU PDP No. 27/2022</t>
  </si>
  <si>
    <t>MODE 3 (CASSATION)</t>
  </si>
  <si>
    <t>Sistem memunculkan kalimat 'kasasi harus dikabulkan/ditolak'</t>
  </si>
  <si>
    <t>Safeguard aktif: klasifikasi Question of Law vs Fact bersifat non-binding.</t>
  </si>
  <si>
    <t>GATE-09</t>
  </si>
  <si>
    <t>Raw vs Derived Separation</t>
  </si>
  <si>
    <t>Kepatuhan etika profesi penegak hukum mencegah tercemarnya alat bukti.</t>
  </si>
  <si>
    <t>Bukti asli (raw) wajib disimpan dalam kondisi read-only dan dipisahkan dari hasil olahan normalisasi/transkripsi.</t>
  </si>
  <si>
    <t>Verifikasi struktur penyimpanan dan penandaan kategori artefak</t>
  </si>
  <si>
    <t>Data olahan menimpa atau menggantikan file asli sumber</t>
  </si>
  <si>
    <t>Pemisahan ketat 6 tingkatan bukti digital diterapkan secara konsisten.</t>
  </si>
  <si>
    <t>GATE-10</t>
  </si>
  <si>
    <t>Comparative Adaptation Filter</t>
  </si>
  <si>
    <t>Praktik hukum komparatif tidak boleh langsung diubah menjadi rekomendasi tanpa penyesuaian regulasi nasional.</t>
  </si>
  <si>
    <t>Analisis kesesuaian dengan KUHAP 2025 dan UU ITE yang berlaku di Indonesia</t>
  </si>
  <si>
    <t>MODE 4 (LEARNING)</t>
  </si>
  <si>
    <t>Mengadopsi standar asing tanpa menguji kompatibilitas hukum acara nasional</t>
  </si>
  <si>
    <t>Setiap perbandingan hukum asing diberi catatan kendala implementasi domestik.</t>
  </si>
  <si>
    <t>https://share.gemini.google/mdcE11qQw4VD</t>
  </si>
  <si>
    <t>prompt versi 4</t>
  </si>
  <si>
    <t>https://share.gemini.google/Gwxc7xrVCqLb</t>
  </si>
  <si>
    <t>prompt versi 5</t>
  </si>
  <si>
    <t>https://share.gemini.google/wD066THwb77w</t>
  </si>
  <si>
    <t xml:space="preserve">wiki format </t>
  </si>
  <si>
    <t>⚖️ IJC MODE 3 — CASSATION TRIAGE &amp; DOCKET EXAMINATION WORKSPACE</t>
  </si>
  <si>
    <t>⚠️ MODE 3 DECISION-SUPPORT SAFEGUARD: Non-Binding Triage Only • Does Not Predict, Rank, or Recommend Judicial Outcome • Human-in-the-Loop Verification Required (IJC KO v5.0 §13)</t>
  </si>
  <si>
    <t>SELECT JUDICIAL CHAMBER</t>
  </si>
  <si>
    <t>TRIAGE ISSUE CLASSIFICATION</t>
  </si>
  <si>
    <t>SELECT DOSSIER (FILE REF)</t>
  </si>
  <si>
    <t>TRIAGE ENGINE STATUS &amp; GOVERNANCE</t>
  </si>
  <si>
    <t>ALL CHAMBERS</t>
  </si>
  <si>
    <t>ALL CLASSIFICATIONS</t>
  </si>
  <si>
    <t>🟢 LIVE CASSATION TRIAGE GATE • Human Gatekeeper: Cecep Mustafa • Safeguard: ACTIVE</t>
  </si>
  <si>
    <t>ACTIVE CASSATION DOCKET</t>
  </si>
  <si>
    <t>QUESTION OF LAW RATIO</t>
  </si>
  <si>
    <t>QUESTION OF FACT / MIXED</t>
  </si>
  <si>
    <t>EPISTEMIC GATE CLEARANCE</t>
  </si>
  <si>
    <t>Secret Name</t>
  </si>
  <si>
    <t>Keterangan &amp; Penggunaan</t>
  </si>
  <si>
    <t>`GOOGLE_SHEETS_ID`</t>
  </si>
  <si>
    <t>📂 CASSATION DOCKET TRIAGE TABLE — FILTERED DOCKET &amp; ISSUES OF LAW (JUDEX JURIS)</t>
  </si>
  <si>
    <t>`1kbYvAa_GZ-c0TZjxDeFyP90K4LqZmqKitUbdFH3p8NM`</t>
  </si>
  <si>
    <t>`GCP_SA_KEY`</t>
  </si>
  <si>
    <t>Kredensial JSON Google Service Account untuk membaca Google Sheets.</t>
  </si>
  <si>
    <t>`MEDIAWIKI_URL`</t>
  </si>
  <si>
    <t>URL basis Miraheze Wiki (misal `https://ijc.miraheze.org/w/api.php`).</t>
  </si>
  <si>
    <t>Cassation File Reference</t>
  </si>
  <si>
    <t>Ground of Appeal / Knowledge Title</t>
  </si>
  <si>
    <t>Triage Classification</t>
  </si>
  <si>
    <t>`MEDIAWIKI_USER` &amp; `MEDIAWIKI_PASSWORD`</t>
  </si>
  <si>
    <t>Statutory &amp; Procedural Basis</t>
  </si>
  <si>
    <t>Established Fact (Judex Facti)</t>
  </si>
  <si>
    <t>Supported Legal Inference</t>
  </si>
  <si>
    <t>Kredensial Bot MediaWiki (`BotPassword`).</t>
  </si>
  <si>
    <t>Evidentiary Boundary / Limitation</t>
  </si>
  <si>
    <t>AI Safeguard</t>
  </si>
  <si>
    <t>Gatekeeper</t>
  </si>
  <si>
    <t>`KAGGLE_USERNAME` &amp; `KAGGLE_KEY`</t>
  </si>
  <si>
    <t>Triage Recommendation</t>
  </si>
  <si>
    <t>Token API Kaggle untuk sinkronisasi dataset (`kaggle datasets version -p dist/kaggle`).</t>
  </si>
  <si>
    <t>`ORCID_CLIENT_ID` &amp; `ORCID_CLIENT_SECRET`</t>
  </si>
  <si>
    <t>Kredensial Member/Public API ORCID untuk verifikasi karya grapher.</t>
  </si>
  <si>
    <t>CASE / FILE REFERENCE</t>
  </si>
  <si>
    <t>PRIMARY ENTITY &amp; STATUTORY BASIS</t>
  </si>
  <si>
    <t>JURISDICTION &amp; CHAMBER</t>
  </si>
  <si>
    <t>GATE STATUS &amp; REVIEWER</t>
  </si>
  <si>
    <t>EPISTEMIC BOUNDARY &amp; TRIAGE PROOF MATRIX (IJC v5.0 §4, §9 &amp; §13)</t>
  </si>
  <si>
    <t>⚖️ ESTABLISHED FACTS (JUDEX FACTI PROVEN)</t>
  </si>
  <si>
    <t>💡 SUPPORTED LEGAL INFERENCES (JUDEX JURIS)</t>
  </si>
  <si>
    <t>🚫 UNKNOWN / EVIDENTIARY LIMITATIONS (GAPS)</t>
  </si>
  <si>
    <t>QUESTION OF LAW / FACT TRIAGE</t>
  </si>
  <si>
    <t>SOURCE-DERIVED DEFINITION / RATIO</t>
  </si>
  <si>
    <t>MODE 3 DECISION SUPPORT DIRECTIVE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</si>
</sst>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4">
    <font>
      <sz val="10.0"/>
      <color rgb="FF000000"/>
      <name val="Arial"/>
      <scheme val="minor"/>
    </font>
    <font>
      <b/>
      <sz val="13.0"/>
      <color rgb="FFFFFFFF"/>
      <name val="Google Sans"/>
    </font>
    <font>
      <b/>
      <sz val="14.0"/>
      <color rgb="FFFFFFFF"/>
      <name val="Roboto"/>
    </font>
    <font>
      <b/>
      <sz val="14.0"/>
      <color rgb="FFFFFFFF"/>
      <name val="Google Sans"/>
    </font>
    <font/>
    <font>
      <i/>
      <sz val="9.0"/>
      <color rgb="FFD8E5F2"/>
      <name val="Google Sans"/>
    </font>
    <font>
      <b/>
      <sz val="16.0"/>
      <color rgb="FF0F2942"/>
      <name val="Roboto"/>
    </font>
    <font>
      <sz val="10.0"/>
      <color rgb="FFD5E2FF"/>
      <name val="Roboto"/>
    </font>
    <font>
      <b/>
      <sz val="9.0"/>
      <color rgb="FFFFFFFF"/>
      <name val="Google Sans"/>
    </font>
    <font>
      <sz val="10.0"/>
      <color rgb="FFBFDBFE"/>
      <name val="Google Sans"/>
    </font>
    <font>
      <sz val="9.0"/>
      <color theme="1"/>
      <name val="Google Sans"/>
    </font>
    <font>
      <b/>
      <sz val="10.0"/>
      <color rgb="FFFFFFFF"/>
      <name val="Roboto"/>
    </font>
    <font>
      <i/>
      <sz val="10.0"/>
      <color rgb="FF495468"/>
      <name val="Roboto"/>
    </font>
    <font>
      <b/>
      <sz val="9.0"/>
      <color rgb="FF1E3A8A"/>
      <name val="Google Sans"/>
    </font>
    <font>
      <b/>
      <sz val="9.0"/>
      <color rgb="FF264777"/>
      <name val="Roboto"/>
    </font>
    <font>
      <b/>
      <sz val="9.0"/>
      <color rgb="FF0D9487"/>
      <name val="Roboto"/>
    </font>
    <font>
      <sz val="9.0"/>
      <color rgb="FF181C1F"/>
      <name val="Roboto"/>
    </font>
    <font>
      <b/>
      <sz val="9.0"/>
      <color rgb="FF1E3A8A"/>
      <name val="Roboto"/>
    </font>
    <font>
      <b/>
      <sz val="22.0"/>
      <color rgb="FF0F172A"/>
      <name val="Google Sans"/>
    </font>
    <font>
      <b/>
      <sz val="9.0"/>
      <color theme="1"/>
      <name val="Roboto"/>
    </font>
    <font>
      <sz val="8.0"/>
      <color rgb="FF333F59"/>
      <name val="Roboto"/>
    </font>
    <font>
      <b/>
      <sz val="9.0"/>
      <color rgb="FF2563EB"/>
      <name val="Roboto"/>
    </font>
    <font>
      <b/>
      <sz val="22.0"/>
      <color rgb="FFFFFFFF"/>
      <name val="Google Sans"/>
    </font>
    <font>
      <sz val="9.0"/>
      <color rgb="FF64748B"/>
      <name val="Google Sans"/>
    </font>
    <font>
      <sz val="9.0"/>
      <color rgb="FFBFDBFE"/>
      <name val="Google Sans"/>
    </font>
    <font>
      <color theme="1"/>
      <name val="Arial"/>
      <scheme val="minor"/>
    </font>
    <font>
      <b/>
      <sz val="10.0"/>
      <color rgb="FFFFFFFF"/>
      <name val="Google Sans"/>
    </font>
    <font>
      <b/>
      <sz val="9.0"/>
      <color rgb="FFF8FAFC"/>
      <name val="Google Sans"/>
    </font>
    <font>
      <b/>
      <sz val="9.0"/>
      <color rgb="FF19264C"/>
      <name val="Roboto"/>
    </font>
    <font>
      <sz val="9.0"/>
      <color rgb="FF0F172A"/>
      <name val="Google Sans"/>
    </font>
    <font>
      <sz val="9.0"/>
      <color rgb="FF475569"/>
      <name val="Google Sans"/>
    </font>
    <font>
      <sz val="9.0"/>
      <color theme="1"/>
      <name val="Roboto"/>
    </font>
    <font>
      <b/>
      <u/>
      <sz val="9.0"/>
      <color rgb="FF1D4ED8"/>
      <name val="Google Sans"/>
    </font>
    <font>
      <b/>
      <u/>
      <sz val="9.0"/>
      <color rgb="FF1D4ED8"/>
      <name val="Google Sans"/>
    </font>
    <font>
      <b/>
      <u/>
      <sz val="9.0"/>
      <color rgb="FF1D4ED8"/>
      <name val="Google Sans"/>
    </font>
    <font>
      <b/>
      <u/>
      <sz val="9.0"/>
      <color rgb="FF1D4ED8"/>
      <name val="Google Sans"/>
    </font>
    <font>
      <b/>
      <sz val="9.0"/>
      <color rgb="FF0C267F"/>
      <name val="Google Sans"/>
    </font>
    <font>
      <b/>
      <u/>
      <sz val="9.0"/>
      <color rgb="FF0C3399"/>
      <name val="Google Sans"/>
    </font>
    <font>
      <b/>
      <sz val="8.0"/>
      <color rgb="FF2563EB"/>
      <name val="Roboto"/>
    </font>
    <font>
      <b/>
      <sz val="9.0"/>
      <color rgb="FF1E293B"/>
      <name val="Roboto"/>
    </font>
    <font>
      <b/>
      <sz val="8.0"/>
      <color theme="1"/>
      <name val="Roboto"/>
    </font>
    <font>
      <u/>
      <color rgb="FF0000FF"/>
    </font>
    <font>
      <b/>
      <sz val="13.0"/>
      <color rgb="FFFFFFFF"/>
      <name val="Arial"/>
      <scheme val="minor"/>
    </font>
    <font>
      <i/>
      <sz val="9.0"/>
      <color rgb="FFF4EAD1"/>
      <name val="Arial"/>
      <scheme val="minor"/>
    </font>
    <font>
      <b/>
      <sz val="9.0"/>
      <color rgb="FF1B365D"/>
      <name val="Arial"/>
      <scheme val="minor"/>
    </font>
    <font>
      <b/>
      <sz val="10.0"/>
      <color theme="1"/>
      <name val="Arial"/>
      <scheme val="minor"/>
    </font>
    <font>
      <b/>
      <i/>
      <sz val="9.0"/>
      <color rgb="FF0C6638"/>
      <name val="Arial"/>
      <scheme val="minor"/>
    </font>
    <font>
      <b/>
      <sz val="9.0"/>
      <color rgb="FF263A5B"/>
      <name val="Arial"/>
      <scheme val="minor"/>
    </font>
    <font>
      <b/>
      <sz val="11.0"/>
      <color rgb="FF112D59"/>
      <name val="Arial"/>
      <scheme val="minor"/>
    </font>
    <font>
      <b/>
      <sz val="11.0"/>
      <color rgb="FFFFFFFF"/>
      <name val="Arial"/>
      <scheme val="minor"/>
    </font>
    <font>
      <b/>
      <sz val="9.0"/>
      <color rgb="FFFFFFFF"/>
      <name val="Arial"/>
      <scheme val="minor"/>
    </font>
    <font>
      <sz val="9.0"/>
      <color rgb="FF191C21"/>
      <name val="Arial"/>
      <scheme val="minor"/>
    </font>
    <font>
      <b/>
      <sz val="9.0"/>
      <color rgb="FF19263F"/>
      <name val="Arial"/>
      <scheme val="minor"/>
    </font>
    <font>
      <i/>
      <sz val="8.0"/>
      <color rgb="FF4C5966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0A243F"/>
        <bgColor rgb="FF0A243F"/>
      </patternFill>
    </fill>
    <fill>
      <patternFill patternType="solid">
        <fgColor rgb="FF0F1F38"/>
        <bgColor rgb="FF0F1F38"/>
      </patternFill>
    </fill>
    <fill>
      <patternFill patternType="solid">
        <fgColor rgb="FF10223D"/>
        <bgColor rgb="FF10223D"/>
      </patternFill>
    </fill>
    <fill>
      <patternFill patternType="solid">
        <fgColor rgb="FF1E3A5E"/>
        <bgColor rgb="FF1E3A5E"/>
      </patternFill>
    </fill>
    <fill>
      <patternFill patternType="solid">
        <fgColor rgb="FF183052"/>
        <bgColor rgb="FF183052"/>
      </patternFill>
    </fill>
    <fill>
      <patternFill patternType="solid">
        <fgColor rgb="FF142D4C"/>
        <bgColor rgb="FF142D4C"/>
      </patternFill>
    </fill>
    <fill>
      <patternFill patternType="solid">
        <fgColor rgb="FF1E3A5F"/>
        <bgColor rgb="FF1E3A5F"/>
      </patternFill>
    </fill>
    <fill>
      <patternFill patternType="solid">
        <fgColor rgb="FFF2F2EF"/>
        <bgColor rgb="FFF2F2EF"/>
      </patternFill>
    </fill>
    <fill>
      <patternFill patternType="solid">
        <fgColor rgb="FFF1F5F9"/>
        <bgColor rgb="FFF1F5F9"/>
      </patternFill>
    </fill>
    <fill>
      <patternFill patternType="solid">
        <fgColor rgb="FFFFFFFF"/>
        <bgColor rgb="FFFFFFFF"/>
      </patternFill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6F8FB"/>
        <bgColor rgb="FFF6F8FB"/>
      </patternFill>
    </fill>
    <fill>
      <patternFill patternType="solid">
        <fgColor rgb="FF1E293B"/>
        <bgColor rgb="FF1E293B"/>
      </patternFill>
    </fill>
    <fill>
      <patternFill patternType="solid">
        <fgColor rgb="FF1B365D"/>
        <bgColor rgb="FF1B365D"/>
      </patternFill>
    </fill>
    <fill>
      <patternFill patternType="solid">
        <fgColor rgb="FF25446F"/>
        <bgColor rgb="FF25446F"/>
      </patternFill>
    </fill>
    <fill>
      <patternFill patternType="solid">
        <fgColor rgb="FFE2EDF7"/>
        <bgColor rgb="FFE2EDF7"/>
      </patternFill>
    </fill>
    <fill>
      <patternFill patternType="solid">
        <fgColor rgb="FFF7F9FF"/>
        <bgColor rgb="FFF7F9FF"/>
      </patternFill>
    </fill>
    <fill>
      <patternFill patternType="solid">
        <fgColor rgb="FFEFF4F9"/>
        <bgColor rgb="FFEFF4F9"/>
      </patternFill>
    </fill>
    <fill>
      <patternFill patternType="solid">
        <fgColor rgb="FFE5EDF4"/>
        <bgColor rgb="FFE5EDF4"/>
      </patternFill>
    </fill>
    <fill>
      <patternFill patternType="solid">
        <fgColor rgb="FFF9FCFF"/>
        <bgColor rgb="FFF9FCFF"/>
      </patternFill>
    </fill>
    <fill>
      <patternFill patternType="solid">
        <fgColor rgb="FF264777"/>
        <bgColor rgb="FF264777"/>
      </patternFill>
    </fill>
  </fills>
  <borders count="41">
    <border/>
    <border>
      <left style="thin">
        <color rgb="FF1E3A89"/>
      </left>
      <top style="thin">
        <color rgb="FF1E3A89"/>
      </top>
    </border>
    <border>
      <top style="thin">
        <color rgb="FF1E3A89"/>
      </top>
    </border>
    <border>
      <right style="thin">
        <color rgb="FF1E3A89"/>
      </right>
      <top style="thin">
        <color rgb="FF1E3A89"/>
      </top>
    </border>
    <border>
      <top style="thin">
        <color rgb="FF194C7F"/>
      </top>
      <bottom style="medium">
        <color rgb="FF194C7F"/>
      </bottom>
    </border>
    <border>
      <left style="thin">
        <color rgb="FF1E3A89"/>
      </left>
      <bottom style="thin">
        <color rgb="FF1E3A89"/>
      </bottom>
    </border>
    <border>
      <bottom style="thin">
        <color rgb="FF1E3A89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</border>
    <border>
      <top style="thin">
        <color rgb="FF194C7F"/>
      </top>
      <bottom style="medium">
        <color rgb="FF0F1F38"/>
      </bottom>
    </border>
    <border>
      <right style="thin">
        <color rgb="FF1E3A89"/>
      </right>
      <bottom style="thin">
        <color rgb="FF1E3A89"/>
      </bottom>
    </border>
    <border>
      <left style="thin">
        <color rgb="FF194C7F"/>
      </left>
      <right style="thin">
        <color rgb="FF194C7F"/>
      </right>
      <top style="thin">
        <color rgb="FF194C7F"/>
      </top>
      <bottom style="medium">
        <color rgb="FF0F1F38"/>
      </bottom>
    </border>
    <border>
      <left style="thin">
        <color rgb="FFCBD5E1"/>
      </left>
      <top style="thin">
        <color rgb="FFCBD5E1"/>
      </top>
      <bottom style="thin">
        <color rgb="FFE2E8F0"/>
      </bottom>
    </border>
    <border>
      <right style="thin">
        <color rgb="FFCBD5E1"/>
      </right>
      <top style="thin">
        <color rgb="FFCBD5E1"/>
      </top>
      <bottom style="thin">
        <color rgb="FFE2E8F0"/>
      </bottom>
    </border>
    <border>
      <left style="thin">
        <color rgb="FFEDEFF4"/>
      </left>
      <right style="thin">
        <color rgb="FFEDEFF4"/>
      </right>
      <bottom style="thin">
        <color rgb="FFE0E5ED"/>
      </bottom>
    </border>
    <border>
      <left style="thin">
        <color rgb="FFF1F5F9"/>
      </left>
      <right style="thin">
        <color rgb="FFF1F5F9"/>
      </right>
      <bottom style="thin">
        <color rgb="FFE2E8F0"/>
      </bottom>
    </border>
    <border>
      <left style="thin">
        <color rgb="FF10223D"/>
      </left>
      <top style="thin">
        <color rgb="FF10223D"/>
      </top>
      <bottom style="thin">
        <color rgb="FF1E3A8A"/>
      </bottom>
    </border>
    <border>
      <right style="thin">
        <color rgb="FF10223D"/>
      </right>
      <top style="thin">
        <color rgb="FF10223D"/>
      </top>
      <bottom style="thin">
        <color rgb="FF1E3A8A"/>
      </bottom>
    </border>
    <border>
      <left style="thin">
        <color rgb="FFCBD5E1"/>
      </left>
      <top style="thin">
        <color rgb="FFE2E8F0"/>
      </top>
      <bottom style="thin">
        <color rgb="FFE2E8F0"/>
      </bottom>
    </border>
    <border>
      <right style="thin">
        <color rgb="FFCBD5E1"/>
      </right>
      <top style="thin">
        <color rgb="FFE2E8F0"/>
      </top>
      <bottom style="thin">
        <color rgb="FFE2E8F0"/>
      </bottom>
    </border>
    <border>
      <left style="thin">
        <color rgb="FF10223D"/>
      </left>
      <top style="thin">
        <color rgb="FF1E3A8A"/>
      </top>
      <bottom style="thin">
        <color rgb="FF1E3A8A"/>
      </bottom>
    </border>
    <border>
      <right style="thin">
        <color rgb="FF10223D"/>
      </right>
      <top style="thin">
        <color rgb="FF1E3A8A"/>
      </top>
      <bottom style="thin">
        <color rgb="FF1E3A8A"/>
      </bottom>
    </border>
    <border>
      <left style="thin">
        <color rgb="FFCBD5E1"/>
      </left>
      <top style="thin">
        <color rgb="FFE2E8F0"/>
      </top>
      <bottom style="thin">
        <color rgb="FFCBD5E1"/>
      </bottom>
    </border>
    <border>
      <right style="thin">
        <color rgb="FFCBD5E1"/>
      </right>
      <top style="thin">
        <color rgb="FFE2E8F0"/>
      </top>
      <bottom style="thin">
        <color rgb="FFCBD5E1"/>
      </bottom>
    </border>
    <border>
      <left style="thin">
        <color rgb="FF10223D"/>
      </left>
      <top style="thin">
        <color rgb="FF1E3A8A"/>
      </top>
      <bottom style="thin">
        <color rgb="FF10223D"/>
      </bottom>
    </border>
    <border>
      <right style="thin">
        <color rgb="FF10223D"/>
      </right>
      <top style="thin">
        <color rgb="FF1E3A8A"/>
      </top>
      <bottom style="thin">
        <color rgb="FF10223D"/>
      </bottom>
    </border>
    <border>
      <left style="thin">
        <color rgb="FFCBD5E1"/>
      </left>
      <top style="thin">
        <color rgb="FF10223D"/>
      </top>
      <bottom style="thin">
        <color rgb="FFE2E8F0"/>
      </bottom>
    </border>
    <border>
      <top style="thin">
        <color rgb="FF10223D"/>
      </top>
      <bottom style="thin">
        <color rgb="FFE2E8F0"/>
      </bottom>
    </border>
    <border>
      <right style="thin">
        <color rgb="FFCBD5E1"/>
      </right>
      <top style="thin">
        <color rgb="FF10223D"/>
      </top>
      <bottom style="thin">
        <color rgb="FFE2E8F0"/>
      </bottom>
    </border>
    <border>
      <left style="thin">
        <color rgb="FFCBD5E1"/>
      </left>
      <right style="thin">
        <color rgb="FFE2E8F0"/>
      </right>
      <top style="thin">
        <color rgb="FFE2E8F0"/>
      </top>
      <bottom style="medium">
        <color rgb="FF10223D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10223D"/>
      </bottom>
    </border>
    <border>
      <left style="thin">
        <color rgb="FFE2E8F0"/>
      </left>
      <right style="thin">
        <color rgb="FFCBD5E1"/>
      </right>
      <top style="thin">
        <color rgb="FFE2E8F0"/>
      </top>
      <bottom style="medium">
        <color rgb="FF10223D"/>
      </bottom>
    </border>
    <border>
      <left style="thin">
        <color rgb="FFCBD5E1"/>
      </left>
      <right style="thin">
        <color rgb="FFE2E8F0"/>
      </right>
      <bottom style="thin">
        <color rgb="FFE2E8F0"/>
      </bottom>
    </border>
    <border>
      <left style="thin">
        <color rgb="FFEDEFF4"/>
      </left>
      <right style="thin">
        <color rgb="FFEDEFF4"/>
      </right>
      <bottom style="medium">
        <color rgb="FFB2BFD1"/>
      </bottom>
    </border>
    <border>
      <left style="thin">
        <color rgb="FFE2E8F0"/>
      </left>
      <right style="thin">
        <color rgb="FFE2E8F0"/>
      </right>
      <bottom style="thin">
        <color rgb="FFE2E8F0"/>
      </bottom>
    </border>
    <border>
      <left style="thin">
        <color rgb="FFE2E8F0"/>
      </left>
      <right style="thin">
        <color rgb="FFCBD5E1"/>
      </right>
      <bottom style="thin">
        <color rgb="FFE2E8F0"/>
      </bottom>
    </border>
    <border>
      <left style="thin">
        <color rgb="FFCBD5E1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CBD5E1"/>
      </right>
      <top style="thin">
        <color rgb="FFE2E8F0"/>
      </top>
      <bottom style="thin">
        <color rgb="FFE2E8F0"/>
      </bottom>
    </border>
    <border>
      <left style="thin">
        <color rgb="FFCBD5E1"/>
      </left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CBD5E1"/>
      </right>
      <top style="thin">
        <color rgb="FFE2E8F0"/>
      </top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0" fillId="5" fontId="5" numFmtId="0" xfId="0" applyAlignment="1" applyFill="1" applyFont="1">
      <alignment horizontal="center" readingOrder="0" vertical="center"/>
    </xf>
    <xf borderId="3" fillId="0" fontId="4" numFmtId="0" xfId="0" applyBorder="1" applyFont="1"/>
    <xf borderId="0" fillId="0" fontId="6" numFmtId="0" xfId="0" applyFont="1"/>
    <xf borderId="0" fillId="6" fontId="7" numFmtId="0" xfId="0" applyAlignment="1" applyFill="1" applyFont="1">
      <alignment horizontal="center" readingOrder="0" vertical="center"/>
    </xf>
    <xf borderId="4" fillId="7" fontId="8" numFmtId="0" xfId="0" applyAlignment="1" applyBorder="1" applyFill="1" applyFont="1">
      <alignment horizontal="center" readingOrder="0" shrinkToFit="0" vertical="center" wrapText="1"/>
    </xf>
    <xf borderId="5" fillId="4" fontId="9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9" fontId="10" numFmtId="0" xfId="0" applyAlignment="1" applyBorder="1" applyFill="1" applyFont="1">
      <alignment readingOrder="0" vertical="center"/>
    </xf>
    <xf borderId="9" fillId="0" fontId="4" numFmtId="0" xfId="0" applyBorder="1" applyFont="1"/>
    <xf borderId="8" fillId="8" fontId="11" numFmtId="0" xfId="0" applyAlignment="1" applyBorder="1" applyFill="1" applyFont="1">
      <alignment horizontal="center" readingOrder="0" shrinkToFit="0" vertical="center" wrapText="1"/>
    </xf>
    <xf borderId="0" fillId="0" fontId="12" numFmtId="0" xfId="0" applyFont="1"/>
    <xf borderId="10" fillId="8" fontId="11" numFmtId="0" xfId="0" applyAlignment="1" applyBorder="1" applyFill="1" applyFont="1">
      <alignment horizontal="center" readingOrder="0" shrinkToFit="0" vertical="center" wrapText="1"/>
    </xf>
    <xf borderId="11" fillId="10" fontId="13" numFmtId="0" xfId="0" applyAlignment="1" applyBorder="1" applyFill="1" applyFont="1">
      <alignment horizontal="center" readingOrder="0" vertical="center"/>
    </xf>
    <xf borderId="12" fillId="0" fontId="4" numFmtId="0" xfId="0" applyBorder="1" applyFont="1"/>
    <xf borderId="13" fillId="11" fontId="14" numFmtId="0" xfId="0" applyAlignment="1" applyBorder="1" applyFill="1" applyFont="1">
      <alignment horizontal="center" readingOrder="0" shrinkToFit="0" vertical="center" wrapText="1"/>
    </xf>
    <xf borderId="14" fillId="11" fontId="15" numFmtId="0" xfId="0" applyAlignment="1" applyBorder="1" applyFill="1" applyFont="1">
      <alignment horizontal="center" readingOrder="0" shrinkToFit="0" vertical="center" wrapText="1"/>
    </xf>
    <xf borderId="7" fillId="9" fontId="10" numFmtId="0" xfId="0" applyAlignment="1" applyBorder="1" applyFill="1" applyFont="1">
      <alignment vertical="center"/>
    </xf>
    <xf borderId="13" fillId="11" fontId="16" numFmtId="0" xfId="0" applyAlignment="1" applyBorder="1" applyFill="1" applyFont="1">
      <alignment horizontal="left" readingOrder="0" shrinkToFit="0" vertical="center" wrapText="1"/>
    </xf>
    <xf borderId="14" fillId="11" fontId="17" numFmtId="0" xfId="0" applyAlignment="1" applyBorder="1" applyFill="1" applyFont="1">
      <alignment horizontal="center" readingOrder="0" shrinkToFit="0" vertical="center" wrapText="1"/>
    </xf>
    <xf borderId="15" fillId="12" fontId="8" numFmtId="0" xfId="0" applyAlignment="1" applyBorder="1" applyFill="1" applyFont="1">
      <alignment horizontal="center" readingOrder="0" vertical="center"/>
    </xf>
    <xf borderId="16" fillId="0" fontId="4" numFmtId="0" xfId="0" applyBorder="1" applyFont="1"/>
    <xf borderId="13" fillId="11" fontId="16" numFmtId="0" xfId="0" applyAlignment="1" applyBorder="1" applyFill="1" applyFont="1">
      <alignment horizontal="center" readingOrder="0" shrinkToFit="0" vertical="center" wrapText="1"/>
    </xf>
    <xf borderId="14" fillId="11" fontId="16" numFmtId="0" xfId="0" applyAlignment="1" applyBorder="1" applyFill="1" applyFont="1">
      <alignment horizontal="left" readingOrder="0" shrinkToFit="0" vertical="center" wrapText="1"/>
    </xf>
    <xf borderId="17" fillId="11" fontId="18" numFmtId="0" xfId="0" applyAlignment="1" applyBorder="1" applyFill="1" applyFont="1">
      <alignment horizontal="center" vertical="center"/>
    </xf>
    <xf borderId="14" fillId="11" fontId="19" numFmtId="0" xfId="0" applyAlignment="1" applyBorder="1" applyFill="1" applyFont="1">
      <alignment horizontal="center" readingOrder="0" shrinkToFit="0" vertical="center" wrapText="1"/>
    </xf>
    <xf borderId="18" fillId="0" fontId="4" numFmtId="0" xfId="0" applyBorder="1" applyFont="1"/>
    <xf borderId="14" fillId="11" fontId="20" numFmtId="0" xfId="0" applyAlignment="1" applyBorder="1" applyFill="1" applyFont="1">
      <alignment horizontal="center" readingOrder="0" shrinkToFit="0" vertical="center" wrapText="1"/>
    </xf>
    <xf borderId="14" fillId="11" fontId="16" numFmtId="0" xfId="0" applyAlignment="1" applyBorder="1" applyFill="1" applyFont="1">
      <alignment horizontal="center" readingOrder="0" shrinkToFit="0" vertical="center" wrapText="1"/>
    </xf>
    <xf borderId="14" fillId="11" fontId="21" numFmtId="0" xfId="0" applyAlignment="1" applyBorder="1" applyFill="1" applyFont="1">
      <alignment horizontal="center" readingOrder="0" shrinkToFit="0" vertical="center" wrapText="1"/>
    </xf>
    <xf borderId="13" fillId="11" fontId="16" numFmtId="0" xfId="0" applyAlignment="1" applyBorder="1" applyFill="1" applyFont="1">
      <alignment horizontal="center" readingOrder="0" shrinkToFit="0" vertical="center" wrapText="1"/>
    </xf>
    <xf borderId="14" fillId="13" fontId="15" numFmtId="0" xfId="0" applyAlignment="1" applyBorder="1" applyFill="1" applyFont="1">
      <alignment horizontal="center" readingOrder="0" shrinkToFit="0" vertical="center" wrapText="1"/>
    </xf>
    <xf borderId="14" fillId="13" fontId="17" numFmtId="0" xfId="0" applyAlignment="1" applyBorder="1" applyFill="1" applyFont="1">
      <alignment horizontal="center" readingOrder="0" shrinkToFit="0" vertical="center" wrapText="1"/>
    </xf>
    <xf borderId="13" fillId="11" fontId="16" numFmtId="164" xfId="0" applyAlignment="1" applyBorder="1" applyFill="1" applyFont="1" applyNumberFormat="1">
      <alignment horizontal="center" readingOrder="0" shrinkToFit="0" vertical="center" wrapText="1"/>
    </xf>
    <xf borderId="14" fillId="13" fontId="16" numFmtId="0" xfId="0" applyAlignment="1" applyBorder="1" applyFill="1" applyFont="1">
      <alignment horizontal="left" readingOrder="0" shrinkToFit="0" vertical="center" wrapText="1"/>
    </xf>
    <xf borderId="13" fillId="14" fontId="14" numFmtId="0" xfId="0" applyAlignment="1" applyBorder="1" applyFill="1" applyFont="1">
      <alignment horizontal="center" readingOrder="0" shrinkToFit="0" vertical="center" wrapText="1"/>
    </xf>
    <xf borderId="14" fillId="13" fontId="19" numFmtId="0" xfId="0" applyAlignment="1" applyBorder="1" applyFill="1" applyFont="1">
      <alignment horizontal="center" readingOrder="0" shrinkToFit="0" vertical="center" wrapText="1"/>
    </xf>
    <xf borderId="13" fillId="14" fontId="16" numFmtId="0" xfId="0" applyAlignment="1" applyBorder="1" applyFill="1" applyFont="1">
      <alignment horizontal="left" readingOrder="0" shrinkToFit="0" vertical="center" wrapText="1"/>
    </xf>
    <xf borderId="14" fillId="13" fontId="20" numFmtId="0" xfId="0" applyAlignment="1" applyBorder="1" applyFill="1" applyFont="1">
      <alignment horizontal="center" readingOrder="0" shrinkToFit="0" vertical="center" wrapText="1"/>
    </xf>
    <xf borderId="13" fillId="14" fontId="16" numFmtId="0" xfId="0" applyAlignment="1" applyBorder="1" applyFill="1" applyFont="1">
      <alignment horizontal="center" readingOrder="0" shrinkToFit="0" vertical="center" wrapText="1"/>
    </xf>
    <xf borderId="19" fillId="4" fontId="22" numFmtId="0" xfId="0" applyAlignment="1" applyBorder="1" applyFill="1" applyFont="1">
      <alignment horizontal="center" vertical="center"/>
    </xf>
    <xf borderId="14" fillId="13" fontId="16" numFmtId="0" xfId="0" applyAlignment="1" applyBorder="1" applyFill="1" applyFont="1">
      <alignment horizontal="center" readingOrder="0" shrinkToFit="0" vertical="center" wrapText="1"/>
    </xf>
    <xf borderId="20" fillId="0" fontId="4" numFmtId="0" xfId="0" applyBorder="1" applyFont="1"/>
    <xf borderId="14" fillId="13" fontId="21" numFmtId="0" xfId="0" applyAlignment="1" applyBorder="1" applyFill="1" applyFont="1">
      <alignment horizontal="center" readingOrder="0" shrinkToFit="0" vertical="center" wrapText="1"/>
    </xf>
    <xf borderId="21" fillId="13" fontId="23" numFmtId="0" xfId="0" applyAlignment="1" applyBorder="1" applyFill="1" applyFont="1">
      <alignment horizontal="center" readingOrder="0" vertical="center"/>
    </xf>
    <xf borderId="13" fillId="14" fontId="16" numFmtId="0" xfId="0" applyAlignment="1" applyBorder="1" applyFill="1" applyFont="1">
      <alignment horizontal="center" readingOrder="0" shrinkToFit="0" vertical="center" wrapText="1"/>
    </xf>
    <xf borderId="22" fillId="0" fontId="4" numFmtId="0" xfId="0" applyBorder="1" applyFont="1"/>
    <xf borderId="13" fillId="14" fontId="16" numFmtId="164" xfId="0" applyAlignment="1" applyBorder="1" applyFill="1" applyFont="1" applyNumberFormat="1">
      <alignment horizontal="center" readingOrder="0" shrinkToFit="0" vertical="center" wrapText="1"/>
    </xf>
    <xf borderId="23" fillId="12" fontId="24" numFmtId="0" xfId="0" applyAlignment="1" applyBorder="1" applyFill="1" applyFont="1">
      <alignment horizontal="center" readingOrder="0" vertical="center"/>
    </xf>
    <xf borderId="24" fillId="0" fontId="4" numFmtId="0" xfId="0" applyBorder="1" applyFont="1"/>
    <xf borderId="0" fillId="11" fontId="25" numFmtId="0" xfId="0" applyBorder="1" applyFill="1" applyFont="1"/>
    <xf borderId="25" fillId="4" fontId="26" numFmtId="0" xfId="0" applyAlignment="1" applyBorder="1" applyFill="1" applyFont="1">
      <alignment horizontal="center" readingOrder="0" vertical="center"/>
    </xf>
    <xf borderId="26" fillId="0" fontId="4" numFmtId="0" xfId="0" applyBorder="1" applyFont="1"/>
    <xf borderId="27" fillId="0" fontId="4" numFmtId="0" xfId="0" applyBorder="1" applyFont="1"/>
    <xf borderId="0" fillId="11" fontId="11" numFmtId="0" xfId="0" applyAlignment="1" applyBorder="1" applyFill="1" applyFont="1">
      <alignment horizontal="left" vertical="center"/>
    </xf>
    <xf borderId="0" fillId="11" fontId="11" numFmtId="0" xfId="0" applyAlignment="1" applyBorder="1" applyFill="1" applyFont="1">
      <alignment horizontal="left" readingOrder="0" vertical="center"/>
    </xf>
    <xf borderId="28" fillId="15" fontId="27" numFmtId="0" xfId="0" applyAlignment="1" applyBorder="1" applyFill="1" applyFont="1">
      <alignment horizontal="left" readingOrder="0" shrinkToFit="0" vertical="center" wrapText="1"/>
    </xf>
    <xf borderId="29" fillId="15" fontId="27" numFmtId="0" xfId="0" applyAlignment="1" applyBorder="1" applyFill="1" applyFont="1">
      <alignment horizontal="center" readingOrder="0" shrinkToFit="0" vertical="center" wrapText="1"/>
    </xf>
    <xf borderId="30" fillId="15" fontId="27" numFmtId="0" xfId="0" applyAlignment="1" applyBorder="1" applyFill="1" applyFont="1">
      <alignment horizontal="left" readingOrder="0" shrinkToFit="0" vertical="center" wrapText="1"/>
    </xf>
    <xf borderId="0" fillId="11" fontId="28" numFmtId="0" xfId="0" applyAlignment="1" applyBorder="1" applyFill="1" applyFont="1">
      <alignment vertical="center"/>
    </xf>
    <xf borderId="28" fillId="15" fontId="27" numFmtId="0" xfId="0" applyAlignment="1" applyBorder="1" applyFill="1" applyFont="1">
      <alignment horizontal="center" readingOrder="0" shrinkToFit="0" vertical="center" wrapText="1"/>
    </xf>
    <xf borderId="29" fillId="15" fontId="27" numFmtId="0" xfId="0" applyAlignment="1" applyBorder="1" applyFill="1" applyFont="1">
      <alignment horizontal="left" readingOrder="0" shrinkToFit="0" vertical="center" wrapText="1"/>
    </xf>
    <xf borderId="31" fillId="11" fontId="29" numFmtId="0" xfId="0" applyAlignment="1" applyBorder="1" applyFill="1" applyFont="1">
      <alignment horizontal="left" readingOrder="0" shrinkToFit="0" vertical="center" wrapText="1"/>
    </xf>
    <xf borderId="32" fillId="14" fontId="14" numFmtId="0" xfId="0" applyAlignment="1" applyBorder="1" applyFill="1" applyFont="1">
      <alignment horizontal="center" readingOrder="0" shrinkToFit="0" vertical="center" wrapText="1"/>
    </xf>
    <xf borderId="33" fillId="11" fontId="13" numFmtId="0" xfId="0" applyAlignment="1" applyBorder="1" applyFill="1" applyFont="1">
      <alignment horizontal="center" shrinkToFit="0" vertical="center" wrapText="1"/>
    </xf>
    <xf borderId="32" fillId="14" fontId="16" numFmtId="0" xfId="0" applyAlignment="1" applyBorder="1" applyFill="1" applyFont="1">
      <alignment horizontal="left" readingOrder="0" shrinkToFit="0" vertical="center" wrapText="1"/>
    </xf>
    <xf borderId="34" fillId="11" fontId="30" numFmtId="0" xfId="0" applyAlignment="1" applyBorder="1" applyFill="1" applyFont="1">
      <alignment horizontal="left" readingOrder="0" shrinkToFit="0" vertical="center" wrapText="1"/>
    </xf>
    <xf borderId="0" fillId="11" fontId="31" numFmtId="0" xfId="0" applyAlignment="1" applyBorder="1" applyFill="1" applyFont="1">
      <alignment vertical="center"/>
    </xf>
    <xf borderId="32" fillId="14" fontId="16" numFmtId="0" xfId="0" applyAlignment="1" applyBorder="1" applyFill="1" applyFont="1">
      <alignment horizontal="center" readingOrder="0" shrinkToFit="0" vertical="center" wrapText="1"/>
    </xf>
    <xf borderId="32" fillId="14" fontId="16" numFmtId="0" xfId="0" applyAlignment="1" applyBorder="1" applyFill="1" applyFont="1">
      <alignment horizontal="center" readingOrder="0" shrinkToFit="0" vertical="center" wrapText="1"/>
    </xf>
    <xf borderId="31" fillId="11" fontId="32" numFmtId="0" xfId="0" applyAlignment="1" applyBorder="1" applyFill="1" applyFont="1">
      <alignment horizontal="center" readingOrder="0" shrinkToFit="0" vertical="center" wrapText="1"/>
    </xf>
    <xf borderId="32" fillId="14" fontId="16" numFmtId="164" xfId="0" applyAlignment="1" applyBorder="1" applyFill="1" applyFont="1" applyNumberFormat="1">
      <alignment horizontal="center" readingOrder="0" shrinkToFit="0" vertical="center" wrapText="1"/>
    </xf>
    <xf borderId="33" fillId="11" fontId="29" numFmtId="0" xfId="0" applyAlignment="1" applyBorder="1" applyFill="1" applyFont="1">
      <alignment horizontal="left" readingOrder="0" shrinkToFit="0" vertical="center" wrapText="1"/>
    </xf>
    <xf borderId="7" fillId="11" fontId="10" numFmtId="0" xfId="0" applyAlignment="1" applyBorder="1" applyFill="1" applyFont="1">
      <alignment readingOrder="0" vertical="center"/>
    </xf>
    <xf borderId="35" fillId="13" fontId="29" numFmtId="0" xfId="0" applyAlignment="1" applyBorder="1" applyFill="1" applyFont="1">
      <alignment horizontal="left" readingOrder="0" shrinkToFit="0" vertical="center" wrapText="1"/>
    </xf>
    <xf borderId="7" fillId="0" fontId="10" numFmtId="0" xfId="0" applyAlignment="1" applyBorder="1" applyFont="1">
      <alignment readingOrder="0" vertical="center"/>
    </xf>
    <xf borderId="36" fillId="13" fontId="13" numFmtId="0" xfId="0" applyAlignment="1" applyBorder="1" applyFill="1" applyFont="1">
      <alignment horizontal="center" shrinkToFit="0" vertical="center" wrapText="1"/>
    </xf>
    <xf borderId="7" fillId="0" fontId="10" numFmtId="164" xfId="0" applyAlignment="1" applyBorder="1" applyFont="1" applyNumberFormat="1">
      <alignment readingOrder="0" vertical="center"/>
    </xf>
    <xf borderId="37" fillId="13" fontId="30" numFmtId="0" xfId="0" applyAlignment="1" applyBorder="1" applyFill="1" applyFont="1">
      <alignment horizontal="left" readingOrder="0" shrinkToFit="0" vertical="center" wrapText="1"/>
    </xf>
    <xf borderId="0" fillId="11" fontId="25" numFmtId="0" xfId="0" applyAlignment="1" applyBorder="1" applyFill="1" applyFont="1">
      <alignment readingOrder="0"/>
    </xf>
    <xf borderId="35" fillId="13" fontId="33" numFmtId="0" xfId="0" applyAlignment="1" applyBorder="1" applyFill="1" applyFont="1">
      <alignment horizontal="center" readingOrder="0" shrinkToFit="0" vertical="center" wrapText="1"/>
    </xf>
    <xf borderId="0" fillId="0" fontId="25" numFmtId="0" xfId="0" applyAlignment="1" applyFont="1">
      <alignment readingOrder="0"/>
    </xf>
    <xf borderId="36" fillId="13" fontId="29" numFmtId="0" xfId="0" applyAlignment="1" applyBorder="1" applyFill="1" applyFont="1">
      <alignment horizontal="left" readingOrder="0" shrinkToFit="0" vertical="center" wrapText="1"/>
    </xf>
    <xf borderId="0" fillId="0" fontId="25" numFmtId="164" xfId="0" applyAlignment="1" applyFont="1" applyNumberFormat="1">
      <alignment readingOrder="0"/>
    </xf>
    <xf borderId="35" fillId="11" fontId="29" numFmtId="0" xfId="0" applyAlignment="1" applyBorder="1" applyFill="1" applyFont="1">
      <alignment horizontal="left" readingOrder="0" shrinkToFit="0" vertical="center" wrapText="1"/>
    </xf>
    <xf borderId="36" fillId="11" fontId="13" numFmtId="0" xfId="0" applyAlignment="1" applyBorder="1" applyFill="1" applyFont="1">
      <alignment horizontal="center" shrinkToFit="0" vertical="center" wrapText="1"/>
    </xf>
    <xf borderId="37" fillId="11" fontId="30" numFmtId="0" xfId="0" applyAlignment="1" applyBorder="1" applyFill="1" applyFont="1">
      <alignment horizontal="left" readingOrder="0" shrinkToFit="0" vertical="center" wrapText="1"/>
    </xf>
    <xf borderId="35" fillId="11" fontId="34" numFmtId="0" xfId="0" applyAlignment="1" applyBorder="1" applyFill="1" applyFont="1">
      <alignment horizontal="center" readingOrder="0" shrinkToFit="0" vertical="center" wrapText="1"/>
    </xf>
    <xf borderId="36" fillId="11" fontId="29" numFmtId="0" xfId="0" applyAlignment="1" applyBorder="1" applyFill="1" applyFont="1">
      <alignment horizontal="left" readingOrder="0" shrinkToFit="0" vertical="center" wrapText="1"/>
    </xf>
    <xf borderId="36" fillId="11" fontId="13" numFmtId="0" xfId="0" applyAlignment="1" applyBorder="1" applyFill="1" applyFont="1">
      <alignment horizontal="center" readingOrder="0" shrinkToFit="0" vertical="center" wrapText="1"/>
    </xf>
    <xf borderId="38" fillId="13" fontId="29" numFmtId="0" xfId="0" applyAlignment="1" applyBorder="1" applyFill="1" applyFont="1">
      <alignment horizontal="left" readingOrder="0" vertical="center"/>
    </xf>
    <xf borderId="39" fillId="13" fontId="13" numFmtId="0" xfId="0" applyAlignment="1" applyBorder="1" applyFill="1" applyFont="1">
      <alignment horizontal="center" vertical="center"/>
    </xf>
    <xf borderId="40" fillId="13" fontId="30" numFmtId="0" xfId="0" applyAlignment="1" applyBorder="1" applyFill="1" applyFont="1">
      <alignment horizontal="left" readingOrder="0" vertical="center"/>
    </xf>
    <xf borderId="0" fillId="11" fontId="25" numFmtId="0" xfId="0" applyBorder="1" applyFill="1" applyFont="1"/>
    <xf borderId="38" fillId="13" fontId="35" numFmtId="0" xfId="0" applyAlignment="1" applyBorder="1" applyFill="1" applyFont="1">
      <alignment horizontal="center" vertical="center"/>
    </xf>
    <xf borderId="39" fillId="13" fontId="29" numFmtId="0" xfId="0" applyAlignment="1" applyBorder="1" applyFill="1" applyFont="1">
      <alignment horizontal="left" readingOrder="0" vertical="center"/>
    </xf>
    <xf borderId="0" fillId="11" fontId="10" numFmtId="0" xfId="0" applyAlignment="1" applyFill="1" applyFont="1">
      <alignment readingOrder="0" vertical="center"/>
    </xf>
    <xf borderId="0" fillId="11" fontId="36" numFmtId="0" xfId="0" applyAlignment="1" applyFill="1" applyFont="1">
      <alignment horizontal="center" readingOrder="0" vertical="center"/>
    </xf>
    <xf borderId="0" fillId="11" fontId="25" numFmtId="0" xfId="0" applyFill="1" applyFont="1"/>
    <xf borderId="0" fillId="11" fontId="37" numFmtId="0" xfId="0" applyAlignment="1" applyFill="1" applyFont="1">
      <alignment vertical="center"/>
    </xf>
    <xf borderId="14" fillId="11" fontId="38" numFmtId="0" xfId="0" applyAlignment="1" applyBorder="1" applyFill="1" applyFont="1">
      <alignment horizontal="center" readingOrder="0" shrinkToFit="0" vertical="center" wrapText="1"/>
    </xf>
    <xf borderId="14" fillId="11" fontId="39" numFmtId="0" xfId="0" applyAlignment="1" applyBorder="1" applyFill="1" applyFont="1">
      <alignment horizontal="left" readingOrder="0" shrinkToFit="0" vertical="center" wrapText="1"/>
    </xf>
    <xf borderId="14" fillId="11" fontId="40" numFmtId="0" xfId="0" applyAlignment="1" applyBorder="1" applyFill="1" applyFont="1">
      <alignment horizontal="center" readingOrder="0" shrinkToFit="0" vertical="center" wrapText="1"/>
    </xf>
    <xf borderId="14" fillId="11" fontId="20" numFmtId="0" xfId="0" applyAlignment="1" applyBorder="1" applyFill="1" applyFont="1">
      <alignment horizontal="left" readingOrder="0" shrinkToFit="0" vertical="center" wrapText="1"/>
    </xf>
    <xf borderId="14" fillId="13" fontId="38" numFmtId="0" xfId="0" applyAlignment="1" applyBorder="1" applyFill="1" applyFont="1">
      <alignment horizontal="center" readingOrder="0" shrinkToFit="0" vertical="center" wrapText="1"/>
    </xf>
    <xf borderId="14" fillId="13" fontId="39" numFmtId="0" xfId="0" applyAlignment="1" applyBorder="1" applyFill="1" applyFont="1">
      <alignment horizontal="left" readingOrder="0" shrinkToFit="0" vertical="center" wrapText="1"/>
    </xf>
    <xf borderId="14" fillId="13" fontId="40" numFmtId="0" xfId="0" applyAlignment="1" applyBorder="1" applyFill="1" applyFont="1">
      <alignment horizontal="center" readingOrder="0" shrinkToFit="0" vertical="center" wrapText="1"/>
    </xf>
    <xf borderId="14" fillId="13" fontId="20" numFmtId="0" xfId="0" applyAlignment="1" applyBorder="1" applyFill="1" applyFont="1">
      <alignment horizontal="left" readingOrder="0" shrinkToFit="0" vertical="center" wrapText="1"/>
    </xf>
    <xf borderId="0" fillId="0" fontId="41" numFmtId="0" xfId="0" applyAlignment="1" applyFont="1">
      <alignment readingOrder="0"/>
    </xf>
    <xf borderId="0" fillId="16" fontId="42" numFmtId="0" xfId="0" applyAlignment="1" applyFill="1" applyFont="1">
      <alignment horizontal="center" readingOrder="0" vertical="center"/>
    </xf>
    <xf borderId="0" fillId="17" fontId="43" numFmtId="0" xfId="0" applyAlignment="1" applyFill="1" applyFont="1">
      <alignment horizontal="center" readingOrder="0" vertical="center"/>
    </xf>
    <xf borderId="0" fillId="18" fontId="44" numFmtId="0" xfId="0" applyAlignment="1" applyFill="1" applyFont="1">
      <alignment horizontal="center" readingOrder="0" vertical="center"/>
    </xf>
    <xf borderId="0" fillId="19" fontId="45" numFmtId="0" xfId="0" applyAlignment="1" applyFill="1" applyFont="1">
      <alignment horizontal="center" readingOrder="0" vertical="center"/>
    </xf>
    <xf borderId="0" fillId="20" fontId="46" numFmtId="0" xfId="0" applyAlignment="1" applyFill="1" applyFont="1">
      <alignment horizontal="center" readingOrder="0" vertical="center"/>
    </xf>
    <xf borderId="0" fillId="21" fontId="47" numFmtId="0" xfId="0" applyAlignment="1" applyFill="1" applyFont="1">
      <alignment horizontal="center" readingOrder="0" vertical="center"/>
    </xf>
    <xf borderId="0" fillId="22" fontId="48" numFmtId="0" xfId="0" applyAlignment="1" applyFill="1" applyFont="1">
      <alignment horizontal="center" vertical="center"/>
    </xf>
    <xf borderId="0" fillId="0" fontId="25" numFmtId="0" xfId="0" applyAlignment="1" applyFont="1">
      <alignment horizontal="left" readingOrder="0" shrinkToFit="0" vertical="center" wrapText="1"/>
    </xf>
    <xf borderId="0" fillId="0" fontId="25" numFmtId="0" xfId="0" applyAlignment="1" applyFont="1">
      <alignment shrinkToFit="0" vertical="center" wrapText="1"/>
    </xf>
    <xf borderId="0" fillId="16" fontId="49" numFmtId="0" xfId="0" applyAlignment="1" applyFill="1" applyFont="1">
      <alignment horizontal="center" readingOrder="0" vertical="center"/>
    </xf>
    <xf borderId="0" fillId="23" fontId="50" numFmtId="0" xfId="0" applyAlignment="1" applyFill="1" applyFont="1">
      <alignment horizontal="center" readingOrder="0" shrinkToFit="0" vertical="center" wrapText="1"/>
    </xf>
    <xf borderId="0" fillId="0" fontId="51" numFmtId="0" xfId="0" applyAlignment="1" applyFont="1">
      <alignment shrinkToFit="0" vertical="top" wrapText="1"/>
    </xf>
    <xf borderId="0" fillId="16" fontId="49" numFmtId="0" xfId="0" applyAlignment="1" applyFill="1" applyFont="1">
      <alignment horizontal="center" vertical="center"/>
    </xf>
    <xf borderId="0" fillId="0" fontId="25" numFmtId="0" xfId="0" applyFont="1"/>
    <xf borderId="0" fillId="23" fontId="50" numFmtId="0" xfId="0" applyAlignment="1" applyFill="1" applyFont="1">
      <alignment horizontal="center" readingOrder="0" vertical="center"/>
    </xf>
    <xf borderId="0" fillId="18" fontId="52" numFmtId="0" xfId="0" applyAlignment="1" applyFill="1" applyFont="1">
      <alignment horizontal="center" readingOrder="0" vertical="center"/>
    </xf>
    <xf borderId="0" fillId="22" fontId="51" numFmtId="0" xfId="0" applyAlignment="1" applyFill="1" applyFont="1">
      <alignment horizontal="left" shrinkToFit="0" vertical="top" wrapText="1"/>
    </xf>
    <xf borderId="0" fillId="20" fontId="53" numFmtId="0" xfId="0" applyAlignment="1" applyFill="1" applyFont="1">
      <alignment horizontal="center" vertical="center"/>
    </xf>
  </cellXfs>
  <cellStyles count="1">
    <cellStyle xfId="0" name="Normal" builtinId="0"/>
  </cellStyles>
  <dxfs count="13">
    <dxf>
      <font>
        <b/>
        <color rgb="FF147226"/>
      </font>
      <fill>
        <patternFill patternType="solid">
          <fgColor rgb="FFD8F2D8"/>
          <bgColor rgb="FFD8F2D8"/>
        </patternFill>
      </fill>
      <border/>
    </dxf>
    <dxf>
      <font>
        <b/>
        <color rgb="FF99660C"/>
      </font>
      <fill>
        <patternFill patternType="solid">
          <fgColor rgb="FFFFF2CC"/>
          <bgColor rgb="FFFFF2CC"/>
        </patternFill>
      </fill>
      <border/>
    </dxf>
    <dxf>
      <font>
        <b/>
        <color rgb="FF992626"/>
      </font>
      <fill>
        <patternFill patternType="solid">
          <fgColor rgb="FFF9D8D8"/>
          <bgColor rgb="FFF9D8D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>
        <b/>
        <color rgb="FF72198C"/>
      </font>
      <fill>
        <patternFill patternType="solid">
          <fgColor rgb="FFEDE5F2"/>
          <bgColor rgb="FFEDE5F2"/>
        </patternFill>
      </fill>
      <border/>
    </dxf>
    <dxf>
      <font>
        <b/>
        <color rgb="FF0C5999"/>
      </font>
      <fill>
        <patternFill patternType="solid">
          <fgColor rgb="FFE0EDF9"/>
          <bgColor rgb="FFE0EDF9"/>
        </patternFill>
      </fill>
      <border/>
    </dxf>
    <dxf>
      <font>
        <b/>
        <color rgb="FF997219"/>
      </font>
      <fill>
        <patternFill patternType="solid">
          <fgColor rgb="FFF9F2E0"/>
          <bgColor rgb="FFF9F2E0"/>
        </patternFill>
      </fill>
      <border/>
    </dxf>
    <dxf>
      <font>
        <b/>
        <color rgb="FF146628"/>
      </font>
      <fill>
        <patternFill patternType="solid">
          <fgColor rgb="FFD3EDD8"/>
          <bgColor rgb="FFD3EDD8"/>
        </patternFill>
      </fill>
      <border/>
    </dxf>
    <dxf>
      <font>
        <b/>
        <color rgb="FF99590C"/>
      </font>
      <fill>
        <patternFill patternType="solid">
          <fgColor rgb="FFFFEFCC"/>
          <bgColor rgb="FFFFEFCC"/>
        </patternFill>
      </fill>
      <border/>
    </dxf>
  </dxfs>
  <tableStyles count="1">
    <tableStyle count="4" pivot="0" name="Sheet3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F14:G20" displayName="Table1" name="Table1" id="1">
  <tableColumns count="2">
    <tableColumn name="Secret Name" id="1"/>
    <tableColumn name="Keterangan &amp; Penggunaan" id="2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.gemini.google/mdcE11qQw4VD" TargetMode="External"/><Relationship Id="rId2" Type="http://schemas.openxmlformats.org/officeDocument/2006/relationships/hyperlink" Target="https://share.gemini.google/Gwxc7xrVCqLb" TargetMode="External"/><Relationship Id="rId3" Type="http://schemas.openxmlformats.org/officeDocument/2006/relationships/hyperlink" Target="https://share.gemini.google/wD066THwb77w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30.13"/>
    <col customWidth="1" min="3" max="3" width="20.13"/>
    <col customWidth="1" min="4" max="4" width="32.63"/>
    <col customWidth="1" min="5" max="5" width="3.13"/>
    <col customWidth="1" min="6" max="6" width="23.88"/>
    <col customWidth="1" min="7" max="7" width="38.88"/>
    <col customWidth="1" min="8" max="8" width="34.5"/>
    <col customWidth="1" min="9" max="9" width="3.88"/>
    <col customWidth="1" min="10" max="10" width="17.63"/>
    <col customWidth="1" min="11" max="11" width="13.88"/>
  </cols>
  <sheetData>
    <row r="1" ht="13.5" customHeight="1"/>
    <row r="2" ht="30.0" customHeight="1">
      <c r="B2" s="3" t="s">
        <v>2</v>
      </c>
      <c r="C2" s="4"/>
      <c r="D2" s="4"/>
      <c r="E2" s="4"/>
      <c r="F2" s="4"/>
      <c r="G2" s="4"/>
      <c r="H2" s="4"/>
      <c r="I2" s="4"/>
      <c r="J2" s="4"/>
      <c r="K2" s="6"/>
      <c r="L2" s="7"/>
    </row>
    <row r="3" ht="19.5" customHeight="1">
      <c r="B3" s="10" t="s">
        <v>8</v>
      </c>
      <c r="C3" s="11"/>
      <c r="D3" s="11"/>
      <c r="E3" s="11"/>
      <c r="F3" s="11"/>
      <c r="G3" s="11"/>
      <c r="H3" s="11"/>
      <c r="I3" s="11"/>
      <c r="J3" s="11"/>
      <c r="K3" s="13"/>
      <c r="L3" s="15"/>
    </row>
    <row r="4" ht="10.5" customHeight="1"/>
    <row r="5" ht="19.5" customHeight="1">
      <c r="B5" s="17" t="s">
        <v>16</v>
      </c>
      <c r="C5" s="18"/>
      <c r="D5" s="17" t="s">
        <v>27</v>
      </c>
      <c r="E5" s="18"/>
      <c r="F5" s="17" t="s">
        <v>39</v>
      </c>
      <c r="G5" s="18"/>
      <c r="H5" s="17" t="s">
        <v>54</v>
      </c>
      <c r="I5" s="18"/>
      <c r="J5" s="24" t="s">
        <v>82</v>
      </c>
      <c r="K5" s="25"/>
    </row>
    <row r="6" ht="33.0" customHeight="1">
      <c r="B6" s="28">
        <f>COUNTIF(Master_Knowledge_Objects!D5:D12, "*MODE 1*")</f>
        <v>2</v>
      </c>
      <c r="C6" s="30"/>
      <c r="D6" s="28">
        <f>COUNTIF(Master_Knowledge_Objects!D5:D12, "*MODE 2*")</f>
        <v>2</v>
      </c>
      <c r="E6" s="30"/>
      <c r="F6" s="28">
        <f>COUNTIF(Master_Knowledge_Objects!D5:D12, "*MODE 3*")</f>
        <v>2</v>
      </c>
      <c r="G6" s="30"/>
      <c r="H6" s="28">
        <f>COUNTIF(Master_Knowledge_Objects!D5:D12, "*MODE 4*")</f>
        <v>2</v>
      </c>
      <c r="I6" s="30"/>
      <c r="J6" s="44">
        <f>COUNTA(Master_Knowledge_Objects!B5:B12)</f>
        <v>8</v>
      </c>
      <c r="K6" s="46"/>
    </row>
    <row r="7" ht="18.0" customHeight="1">
      <c r="B7" s="48" t="s">
        <v>174</v>
      </c>
      <c r="C7" s="50"/>
      <c r="D7" s="48" t="s">
        <v>183</v>
      </c>
      <c r="E7" s="50"/>
      <c r="F7" s="48" t="s">
        <v>188</v>
      </c>
      <c r="G7" s="50"/>
      <c r="H7" s="48" t="s">
        <v>193</v>
      </c>
      <c r="I7" s="50"/>
      <c r="J7" s="52" t="s">
        <v>199</v>
      </c>
      <c r="K7" s="53"/>
    </row>
    <row r="8" ht="12.0" customHeight="1">
      <c r="I8" s="54"/>
      <c r="J8" s="54"/>
      <c r="K8" s="54"/>
      <c r="L8" s="54"/>
    </row>
    <row r="9" ht="24.0" customHeight="1">
      <c r="B9" s="55" t="s">
        <v>227</v>
      </c>
      <c r="C9" s="56"/>
      <c r="D9" s="57"/>
      <c r="E9" s="58"/>
      <c r="F9" s="55" t="s">
        <v>252</v>
      </c>
      <c r="G9" s="56"/>
      <c r="H9" s="57"/>
      <c r="I9" s="59"/>
      <c r="J9" s="59"/>
      <c r="K9" s="59"/>
      <c r="L9" s="54"/>
    </row>
    <row r="10" ht="21.0" customHeight="1">
      <c r="B10" s="60" t="s">
        <v>274</v>
      </c>
      <c r="C10" s="61" t="s">
        <v>286</v>
      </c>
      <c r="D10" s="62" t="s">
        <v>292</v>
      </c>
      <c r="E10" s="63"/>
      <c r="F10" s="64" t="s">
        <v>300</v>
      </c>
      <c r="G10" s="65" t="s">
        <v>305</v>
      </c>
      <c r="H10" s="62" t="s">
        <v>308</v>
      </c>
      <c r="I10" s="63"/>
      <c r="J10" s="63"/>
      <c r="K10" s="63"/>
      <c r="L10" s="54"/>
    </row>
    <row r="11" ht="19.5" customHeight="1">
      <c r="B11" s="66" t="s">
        <v>309</v>
      </c>
      <c r="C11" s="68">
        <f>COUNTA(Atomic_Claims_Graph!B5:B13)</f>
        <v>9</v>
      </c>
      <c r="D11" s="70" t="s">
        <v>322</v>
      </c>
      <c r="E11" s="71"/>
      <c r="F11" s="74" t="s">
        <v>329</v>
      </c>
      <c r="G11" s="76" t="s">
        <v>334</v>
      </c>
      <c r="H11" s="70" t="s">
        <v>336</v>
      </c>
      <c r="I11" s="71"/>
      <c r="J11" s="71"/>
      <c r="K11" s="71"/>
      <c r="L11" s="54"/>
    </row>
    <row r="12" ht="19.5" customHeight="1">
      <c r="B12" s="78" t="s">
        <v>338</v>
      </c>
      <c r="C12" s="80">
        <f>COUNTA(Evidence_Provenance!B5:B14)</f>
        <v>10</v>
      </c>
      <c r="D12" s="82" t="s">
        <v>347</v>
      </c>
      <c r="E12" s="71"/>
      <c r="F12" s="84" t="s">
        <v>350</v>
      </c>
      <c r="G12" s="86" t="s">
        <v>359</v>
      </c>
      <c r="H12" s="82" t="s">
        <v>360</v>
      </c>
      <c r="I12" s="71"/>
      <c r="J12" s="71"/>
      <c r="K12" s="71"/>
      <c r="L12" s="54"/>
    </row>
    <row r="13" ht="19.5" customHeight="1">
      <c r="B13" s="88" t="s">
        <v>361</v>
      </c>
      <c r="C13" s="89" t="str">
        <f>TEXT(COUNTIF(Verification_QualityGate!G5:G14, "PASS")/COUNTA(Verification_QualityGate!G5:G14), "0,0%")</f>
        <v>100%</v>
      </c>
      <c r="D13" s="90" t="s">
        <v>362</v>
      </c>
      <c r="E13" s="71"/>
      <c r="F13" s="91" t="s">
        <v>363</v>
      </c>
      <c r="G13" s="92" t="s">
        <v>364</v>
      </c>
      <c r="H13" s="90" t="s">
        <v>365</v>
      </c>
      <c r="I13" s="71"/>
      <c r="J13" s="71"/>
      <c r="K13" s="71"/>
      <c r="L13" s="54"/>
    </row>
    <row r="14" ht="19.5" customHeight="1">
      <c r="B14" s="78" t="s">
        <v>366</v>
      </c>
      <c r="C14" s="80">
        <f>COUNTA(GEO_QA_Triage!B5:B12)</f>
        <v>8</v>
      </c>
      <c r="D14" s="82" t="s">
        <v>125</v>
      </c>
      <c r="E14" s="71"/>
      <c r="F14" s="84" t="s">
        <v>367</v>
      </c>
      <c r="G14" s="86" t="s">
        <v>368</v>
      </c>
      <c r="H14" s="82" t="s">
        <v>369</v>
      </c>
      <c r="I14" s="71"/>
      <c r="J14" s="71"/>
      <c r="K14" s="71"/>
      <c r="L14" s="54"/>
    </row>
    <row r="15" ht="19.5" customHeight="1">
      <c r="B15" s="88" t="s">
        <v>370</v>
      </c>
      <c r="C15" s="93" t="s">
        <v>157</v>
      </c>
      <c r="D15" s="90" t="s">
        <v>371</v>
      </c>
      <c r="E15" s="71"/>
      <c r="F15" s="91" t="s">
        <v>372</v>
      </c>
      <c r="G15" s="92" t="s">
        <v>373</v>
      </c>
      <c r="H15" s="90" t="s">
        <v>374</v>
      </c>
      <c r="I15" s="71"/>
      <c r="J15" s="71"/>
      <c r="K15" s="71"/>
      <c r="L15" s="54"/>
    </row>
    <row r="16" ht="19.5" customHeight="1">
      <c r="B16" s="94" t="s">
        <v>375</v>
      </c>
      <c r="C16" s="95" t="str">
        <f>COUNTA(v5_Reference_Standards!C5:C9) &amp; " Chambers (" &amp; COUNTA(v5_Reference_Standards!D5:D27) &amp; " Domains)"</f>
        <v>5 Chambers (23 Domains)</v>
      </c>
      <c r="D16" s="96" t="s">
        <v>376</v>
      </c>
      <c r="E16" s="97"/>
      <c r="F16" s="98" t="s">
        <v>377</v>
      </c>
      <c r="G16" s="99" t="s">
        <v>378</v>
      </c>
      <c r="H16" s="96" t="s">
        <v>379</v>
      </c>
      <c r="I16" s="97"/>
      <c r="J16" s="97"/>
      <c r="K16" s="97"/>
      <c r="L16" s="97"/>
    </row>
    <row r="17" ht="26.25" customHeight="1">
      <c r="B17" s="100" t="s">
        <v>380</v>
      </c>
      <c r="C17" s="101" t="s">
        <v>381</v>
      </c>
      <c r="D17" s="100" t="s">
        <v>382</v>
      </c>
      <c r="E17" s="102"/>
      <c r="F17" s="103" t="s">
        <v>383</v>
      </c>
      <c r="G17" s="100" t="s">
        <v>384</v>
      </c>
      <c r="H17" s="100" t="s">
        <v>385</v>
      </c>
      <c r="I17" s="102"/>
      <c r="J17" s="102"/>
      <c r="K17" s="102"/>
      <c r="L17" s="102"/>
    </row>
    <row r="18" ht="26.25" customHeight="1"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</row>
    <row r="19" ht="26.25" customHeight="1"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</row>
    <row r="20" ht="26.25" customHeight="1"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</row>
    <row r="21" ht="26.25" customHeight="1"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</row>
    <row r="22" ht="26.25" customHeight="1"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</row>
    <row r="23" ht="26.25" customHeight="1"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</row>
    <row r="24" ht="26.25" customHeight="1"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</row>
    <row r="25" ht="26.25" customHeight="1"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</row>
    <row r="26" ht="26.25" customHeight="1"/>
    <row r="27" ht="26.25" customHeight="1"/>
    <row r="28" ht="26.25" customHeight="1"/>
    <row r="29" ht="26.25" customHeight="1"/>
    <row r="30" ht="26.25" customHeight="1"/>
  </sheetData>
  <mergeCells count="19">
    <mergeCell ref="B2:K2"/>
    <mergeCell ref="B3:K3"/>
    <mergeCell ref="B5:C5"/>
    <mergeCell ref="D5:E5"/>
    <mergeCell ref="F5:G5"/>
    <mergeCell ref="H5:I5"/>
    <mergeCell ref="J5:K5"/>
    <mergeCell ref="F7:G7"/>
    <mergeCell ref="H7:I7"/>
    <mergeCell ref="F9:H9"/>
    <mergeCell ref="B7:C7"/>
    <mergeCell ref="B9:D9"/>
    <mergeCell ref="B6:C6"/>
    <mergeCell ref="D6:E6"/>
    <mergeCell ref="F6:G6"/>
    <mergeCell ref="H6:I6"/>
    <mergeCell ref="J6:K6"/>
    <mergeCell ref="D7:E7"/>
    <mergeCell ref="J7:K7"/>
  </mergeCells>
  <hyperlinks>
    <hyperlink display="Master_Knowledge_Objects" location="Master_Knowledge_Objects!A1" ref="F11"/>
    <hyperlink display="Evidence_Provenance" location="Evidence_Provenance!A1" ref="F12"/>
    <hyperlink display="Atomic_Claims_Graph" location="Atomic_Claims_Graph!A1" ref="F13"/>
    <hyperlink display="GEO_QA_Triage" location="GEO_QA_Triage!A1" ref="F14"/>
    <hyperlink display="Verification_QualityGate" location="Verification_QualityGate!A1" ref="F15"/>
    <hyperlink display="v5_Reference_Standards" location="v5_Reference_Standards!A1" ref="F16"/>
    <hyperlink display="Cassation_Triage_App" location="Cassation_Triage_App!A1" ref="F17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88"/>
    <col customWidth="1" min="2" max="2" width="96.38"/>
    <col customWidth="1" min="3" max="3" width="15.0"/>
    <col customWidth="1" min="4" max="4" width="27.0"/>
    <col customWidth="1" min="5" max="5" width="20.5"/>
    <col customWidth="1" min="6" max="6" width="26.63"/>
    <col customWidth="1" min="7" max="7" width="24.5"/>
    <col customWidth="1" min="8" max="8" width="15.5"/>
  </cols>
  <sheetData>
    <row r="2" ht="30.0" customHeight="1">
      <c r="B2" s="1" t="s">
        <v>0</v>
      </c>
    </row>
    <row r="3" ht="19.5" customHeight="1">
      <c r="B3" s="5" t="s">
        <v>5</v>
      </c>
    </row>
    <row r="4" ht="25.5" customHeight="1">
      <c r="B4" s="9" t="s">
        <v>7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  <c r="H4" s="9" t="s">
        <v>14</v>
      </c>
    </row>
    <row r="5">
      <c r="B5" s="12" t="s">
        <v>16</v>
      </c>
      <c r="C5" s="12" t="s">
        <v>18</v>
      </c>
      <c r="D5" s="12" t="s">
        <v>19</v>
      </c>
      <c r="E5" s="12" t="s">
        <v>20</v>
      </c>
      <c r="F5" s="12" t="s">
        <v>22</v>
      </c>
      <c r="G5" s="12" t="s">
        <v>23</v>
      </c>
      <c r="H5" s="12" t="s">
        <v>24</v>
      </c>
    </row>
    <row r="6">
      <c r="B6" s="12" t="s">
        <v>27</v>
      </c>
      <c r="C6" s="12" t="s">
        <v>29</v>
      </c>
      <c r="D6" s="12" t="s">
        <v>30</v>
      </c>
      <c r="E6" s="12" t="s">
        <v>32</v>
      </c>
      <c r="F6" s="12" t="s">
        <v>34</v>
      </c>
      <c r="G6" s="12" t="s">
        <v>35</v>
      </c>
      <c r="H6" s="12" t="s">
        <v>37</v>
      </c>
    </row>
    <row r="7">
      <c r="B7" s="12" t="s">
        <v>39</v>
      </c>
      <c r="C7" s="12" t="s">
        <v>40</v>
      </c>
      <c r="D7" s="12" t="s">
        <v>42</v>
      </c>
      <c r="E7" s="12" t="s">
        <v>44</v>
      </c>
      <c r="F7" s="12" t="s">
        <v>46</v>
      </c>
      <c r="G7" s="12" t="s">
        <v>49</v>
      </c>
      <c r="H7" s="12" t="s">
        <v>51</v>
      </c>
    </row>
    <row r="8">
      <c r="B8" s="12" t="s">
        <v>54</v>
      </c>
      <c r="C8" s="12" t="s">
        <v>56</v>
      </c>
      <c r="D8" s="12" t="s">
        <v>58</v>
      </c>
      <c r="E8" s="12" t="s">
        <v>60</v>
      </c>
      <c r="F8" s="12" t="s">
        <v>63</v>
      </c>
      <c r="G8" s="12" t="s">
        <v>66</v>
      </c>
      <c r="H8" s="12" t="s">
        <v>68</v>
      </c>
    </row>
    <row r="9">
      <c r="B9" s="21"/>
      <c r="C9" s="12" t="s">
        <v>77</v>
      </c>
      <c r="D9" s="12" t="s">
        <v>79</v>
      </c>
      <c r="E9" s="12" t="s">
        <v>80</v>
      </c>
      <c r="F9" s="12" t="s">
        <v>81</v>
      </c>
      <c r="G9" s="12" t="s">
        <v>83</v>
      </c>
      <c r="H9" s="12" t="s">
        <v>84</v>
      </c>
    </row>
    <row r="10">
      <c r="B10" s="21"/>
      <c r="C10" s="12" t="s">
        <v>85</v>
      </c>
      <c r="D10" s="12" t="s">
        <v>86</v>
      </c>
      <c r="E10" s="12" t="s">
        <v>87</v>
      </c>
      <c r="F10" s="12" t="s">
        <v>88</v>
      </c>
      <c r="G10" s="12" t="s">
        <v>89</v>
      </c>
      <c r="H10" s="12" t="s">
        <v>90</v>
      </c>
    </row>
    <row r="11">
      <c r="B11" s="21"/>
      <c r="C11" s="12" t="s">
        <v>91</v>
      </c>
      <c r="D11" s="12" t="s">
        <v>92</v>
      </c>
      <c r="E11" s="12" t="s">
        <v>93</v>
      </c>
      <c r="F11" s="12" t="s">
        <v>48</v>
      </c>
      <c r="G11" s="12" t="s">
        <v>94</v>
      </c>
      <c r="H11" s="12" t="s">
        <v>95</v>
      </c>
    </row>
    <row r="12">
      <c r="B12" s="21"/>
      <c r="C12" s="21"/>
      <c r="D12" s="12" t="s">
        <v>96</v>
      </c>
      <c r="E12" s="12" t="s">
        <v>97</v>
      </c>
      <c r="F12" s="12" t="s">
        <v>98</v>
      </c>
      <c r="G12" s="12" t="s">
        <v>99</v>
      </c>
      <c r="H12" s="12" t="s">
        <v>100</v>
      </c>
    </row>
    <row r="13">
      <c r="B13" s="21"/>
      <c r="C13" s="21"/>
      <c r="D13" s="12" t="s">
        <v>101</v>
      </c>
      <c r="E13" s="12" t="s">
        <v>102</v>
      </c>
      <c r="F13" s="12" t="s">
        <v>103</v>
      </c>
      <c r="G13" s="12" t="s">
        <v>104</v>
      </c>
      <c r="H13" s="12" t="s">
        <v>105</v>
      </c>
    </row>
    <row r="14">
      <c r="B14" s="21"/>
      <c r="C14" s="21"/>
      <c r="D14" s="12" t="s">
        <v>106</v>
      </c>
      <c r="E14" s="12" t="s">
        <v>107</v>
      </c>
      <c r="F14" s="21"/>
      <c r="G14" s="12" t="s">
        <v>108</v>
      </c>
      <c r="H14" s="12" t="s">
        <v>109</v>
      </c>
    </row>
    <row r="15">
      <c r="B15" s="21"/>
      <c r="C15" s="21"/>
      <c r="D15" s="12" t="s">
        <v>110</v>
      </c>
      <c r="E15" s="12" t="s">
        <v>111</v>
      </c>
      <c r="F15" s="21"/>
      <c r="G15" s="12" t="s">
        <v>112</v>
      </c>
      <c r="H15" s="12" t="s">
        <v>113</v>
      </c>
    </row>
    <row r="16">
      <c r="B16" s="21"/>
      <c r="C16" s="21"/>
      <c r="D16" s="12" t="s">
        <v>114</v>
      </c>
      <c r="E16" s="12" t="s">
        <v>115</v>
      </c>
      <c r="F16" s="21"/>
      <c r="G16" s="12" t="s">
        <v>116</v>
      </c>
      <c r="H16" s="12" t="s">
        <v>118</v>
      </c>
    </row>
    <row r="17">
      <c r="B17" s="21"/>
      <c r="C17" s="21"/>
      <c r="D17" s="12" t="s">
        <v>119</v>
      </c>
      <c r="E17" s="12" t="s">
        <v>120</v>
      </c>
      <c r="F17" s="21"/>
      <c r="G17" s="12" t="s">
        <v>121</v>
      </c>
      <c r="H17" s="12" t="s">
        <v>122</v>
      </c>
    </row>
    <row r="18">
      <c r="B18" s="21"/>
      <c r="C18" s="21"/>
      <c r="D18" s="12" t="s">
        <v>123</v>
      </c>
      <c r="E18" s="12" t="s">
        <v>124</v>
      </c>
      <c r="F18" s="21"/>
      <c r="G18" s="12" t="s">
        <v>125</v>
      </c>
      <c r="H18" s="12" t="s">
        <v>126</v>
      </c>
    </row>
    <row r="19">
      <c r="B19" s="21"/>
      <c r="C19" s="21"/>
      <c r="D19" s="12" t="s">
        <v>127</v>
      </c>
      <c r="E19" s="12" t="s">
        <v>81</v>
      </c>
      <c r="F19" s="21"/>
      <c r="G19" s="12" t="s">
        <v>128</v>
      </c>
      <c r="H19" s="12" t="s">
        <v>129</v>
      </c>
    </row>
    <row r="20">
      <c r="B20" s="21"/>
      <c r="C20" s="21"/>
      <c r="D20" s="12" t="s">
        <v>130</v>
      </c>
      <c r="E20" s="21"/>
      <c r="F20" s="21"/>
      <c r="G20" s="21"/>
      <c r="H20" s="21"/>
    </row>
    <row r="21">
      <c r="B21" s="21"/>
      <c r="C21" s="21"/>
      <c r="D21" s="12" t="s">
        <v>131</v>
      </c>
      <c r="E21" s="21"/>
      <c r="F21" s="21"/>
      <c r="G21" s="21"/>
      <c r="H21" s="21"/>
    </row>
    <row r="22">
      <c r="B22" s="21"/>
      <c r="C22" s="21"/>
      <c r="D22" s="12" t="s">
        <v>132</v>
      </c>
      <c r="E22" s="21"/>
      <c r="F22" s="21"/>
      <c r="G22" s="21"/>
      <c r="H22" s="21"/>
    </row>
    <row r="23">
      <c r="B23" s="21"/>
      <c r="C23" s="21"/>
      <c r="D23" s="12" t="s">
        <v>135</v>
      </c>
      <c r="E23" s="21"/>
      <c r="F23" s="21"/>
      <c r="G23" s="21"/>
      <c r="H23" s="21"/>
    </row>
    <row r="24">
      <c r="B24" s="21"/>
      <c r="C24" s="21"/>
      <c r="D24" s="12" t="s">
        <v>139</v>
      </c>
      <c r="E24" s="21"/>
      <c r="F24" s="21"/>
      <c r="G24" s="21"/>
      <c r="H24" s="21"/>
    </row>
    <row r="25">
      <c r="B25" s="21"/>
      <c r="C25" s="21"/>
      <c r="D25" s="12" t="s">
        <v>142</v>
      </c>
      <c r="E25" s="21"/>
      <c r="F25" s="21"/>
      <c r="G25" s="21"/>
      <c r="H25" s="21"/>
    </row>
    <row r="26">
      <c r="B26" s="21"/>
      <c r="C26" s="21"/>
      <c r="D26" s="12" t="s">
        <v>144</v>
      </c>
      <c r="E26" s="21"/>
      <c r="F26" s="21"/>
      <c r="G26" s="21"/>
      <c r="H26" s="21"/>
    </row>
    <row r="27">
      <c r="B27" s="21"/>
      <c r="C27" s="21"/>
      <c r="D27" s="12" t="s">
        <v>146</v>
      </c>
      <c r="E27" s="21"/>
      <c r="F27" s="21"/>
      <c r="G27" s="21"/>
      <c r="H27" s="12"/>
    </row>
    <row r="28">
      <c r="B28" s="21"/>
      <c r="C28" s="21"/>
      <c r="D28" s="21"/>
      <c r="E28" s="21"/>
      <c r="F28" s="21"/>
      <c r="G28" s="21"/>
      <c r="H28" s="21"/>
    </row>
  </sheetData>
  <mergeCells count="2">
    <mergeCell ref="B2:H2"/>
    <mergeCell ref="B3:H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13"/>
    <col customWidth="1" min="2" max="2" width="15.13"/>
    <col customWidth="1" min="3" max="3" width="35.13"/>
    <col customWidth="1" min="4" max="4" width="27.0"/>
    <col customWidth="1" min="5" max="5" width="13.25"/>
    <col customWidth="1" min="6" max="6" width="23.88"/>
    <col customWidth="1" min="7" max="7" width="26.38"/>
    <col customWidth="1" min="8" max="8" width="20.13"/>
    <col customWidth="1" min="9" max="9" width="23.88"/>
    <col customWidth="1" min="10" max="10" width="30.13"/>
    <col customWidth="1" min="11" max="11" width="40.13"/>
    <col customWidth="1" min="12" max="14" width="32.63"/>
    <col customWidth="1" min="15" max="15" width="17.0"/>
    <col customWidth="1" min="16" max="16" width="22.0"/>
    <col customWidth="1" min="17" max="18" width="17.0"/>
    <col customWidth="1" min="19" max="19" width="13.25"/>
  </cols>
  <sheetData>
    <row r="1" ht="15.0" customHeight="1"/>
    <row r="2" ht="33.0" customHeight="1">
      <c r="B2" s="2" t="s">
        <v>1</v>
      </c>
    </row>
    <row r="3" ht="21.0" customHeight="1">
      <c r="B3" s="8" t="s">
        <v>4</v>
      </c>
    </row>
    <row r="4" ht="28.5" customHeight="1">
      <c r="B4" s="14" t="s">
        <v>15</v>
      </c>
      <c r="C4" s="14" t="s">
        <v>17</v>
      </c>
      <c r="D4" s="14" t="s">
        <v>21</v>
      </c>
      <c r="E4" s="14" t="s">
        <v>25</v>
      </c>
      <c r="F4" s="14" t="s">
        <v>28</v>
      </c>
      <c r="G4" s="14" t="s">
        <v>31</v>
      </c>
      <c r="H4" s="14" t="s">
        <v>33</v>
      </c>
      <c r="I4" s="14" t="s">
        <v>36</v>
      </c>
      <c r="J4" s="14" t="s">
        <v>38</v>
      </c>
      <c r="K4" s="14" t="s">
        <v>41</v>
      </c>
      <c r="L4" s="14" t="s">
        <v>45</v>
      </c>
      <c r="M4" s="14" t="s">
        <v>48</v>
      </c>
      <c r="N4" s="14" t="s">
        <v>52</v>
      </c>
      <c r="O4" s="14" t="s">
        <v>55</v>
      </c>
      <c r="P4" s="14" t="s">
        <v>59</v>
      </c>
      <c r="Q4" s="14" t="s">
        <v>62</v>
      </c>
      <c r="R4" s="14" t="s">
        <v>65</v>
      </c>
      <c r="S4" s="14" t="s">
        <v>69</v>
      </c>
    </row>
    <row r="5" ht="36.0" customHeight="1">
      <c r="B5" s="19" t="s">
        <v>73</v>
      </c>
      <c r="C5" s="22" t="s">
        <v>76</v>
      </c>
      <c r="D5" s="26" t="s">
        <v>16</v>
      </c>
      <c r="E5" s="26" t="s">
        <v>18</v>
      </c>
      <c r="F5" s="22" t="s">
        <v>133</v>
      </c>
      <c r="G5" s="22" t="s">
        <v>134</v>
      </c>
      <c r="H5" s="22" t="s">
        <v>136</v>
      </c>
      <c r="I5" s="22" t="s">
        <v>137</v>
      </c>
      <c r="J5" s="22" t="s">
        <v>138</v>
      </c>
      <c r="K5" s="22" t="s">
        <v>140</v>
      </c>
      <c r="L5" s="22" t="s">
        <v>141</v>
      </c>
      <c r="M5" s="22" t="s">
        <v>148</v>
      </c>
      <c r="N5" s="22" t="s">
        <v>149</v>
      </c>
      <c r="O5" s="26" t="s">
        <v>66</v>
      </c>
      <c r="P5" s="34" t="s">
        <v>155</v>
      </c>
      <c r="Q5" s="34" t="s">
        <v>23</v>
      </c>
      <c r="R5" s="34" t="s">
        <v>157</v>
      </c>
      <c r="S5" s="37">
        <v>46283.0</v>
      </c>
    </row>
    <row r="6" ht="36.0" customHeight="1">
      <c r="B6" s="39" t="s">
        <v>160</v>
      </c>
      <c r="C6" s="41" t="s">
        <v>161</v>
      </c>
      <c r="D6" s="43" t="s">
        <v>27</v>
      </c>
      <c r="E6" s="43" t="s">
        <v>18</v>
      </c>
      <c r="F6" s="41" t="s">
        <v>133</v>
      </c>
      <c r="G6" s="41" t="s">
        <v>166</v>
      </c>
      <c r="H6" s="41" t="s">
        <v>168</v>
      </c>
      <c r="I6" s="41" t="s">
        <v>169</v>
      </c>
      <c r="J6" s="41" t="s">
        <v>170</v>
      </c>
      <c r="K6" s="41" t="s">
        <v>172</v>
      </c>
      <c r="L6" s="41" t="s">
        <v>173</v>
      </c>
      <c r="M6" s="41" t="s">
        <v>175</v>
      </c>
      <c r="N6" s="41" t="s">
        <v>176</v>
      </c>
      <c r="O6" s="43" t="s">
        <v>89</v>
      </c>
      <c r="P6" s="49" t="s">
        <v>104</v>
      </c>
      <c r="Q6" s="49" t="s">
        <v>35</v>
      </c>
      <c r="R6" s="49" t="s">
        <v>157</v>
      </c>
      <c r="S6" s="51">
        <v>46283.0</v>
      </c>
    </row>
    <row r="7" ht="36.0" customHeight="1">
      <c r="B7" s="19" t="s">
        <v>189</v>
      </c>
      <c r="C7" s="22" t="s">
        <v>191</v>
      </c>
      <c r="D7" s="26" t="s">
        <v>39</v>
      </c>
      <c r="E7" s="26" t="s">
        <v>18</v>
      </c>
      <c r="F7" s="22" t="s">
        <v>202</v>
      </c>
      <c r="G7" s="22" t="s">
        <v>204</v>
      </c>
      <c r="H7" s="22" t="s">
        <v>206</v>
      </c>
      <c r="I7" s="22" t="s">
        <v>207</v>
      </c>
      <c r="J7" s="22" t="s">
        <v>209</v>
      </c>
      <c r="K7" s="22" t="s">
        <v>210</v>
      </c>
      <c r="L7" s="22" t="s">
        <v>212</v>
      </c>
      <c r="M7" s="22" t="s">
        <v>215</v>
      </c>
      <c r="N7" s="22" t="s">
        <v>217</v>
      </c>
      <c r="O7" s="26" t="s">
        <v>83</v>
      </c>
      <c r="P7" s="34" t="s">
        <v>108</v>
      </c>
      <c r="Q7" s="34" t="s">
        <v>35</v>
      </c>
      <c r="R7" s="34" t="s">
        <v>157</v>
      </c>
      <c r="S7" s="37">
        <v>46283.0</v>
      </c>
    </row>
    <row r="8" ht="36.0" customHeight="1">
      <c r="B8" s="39" t="s">
        <v>226</v>
      </c>
      <c r="C8" s="41" t="s">
        <v>228</v>
      </c>
      <c r="D8" s="43" t="s">
        <v>54</v>
      </c>
      <c r="E8" s="43" t="s">
        <v>18</v>
      </c>
      <c r="F8" s="41" t="s">
        <v>234</v>
      </c>
      <c r="G8" s="41" t="s">
        <v>236</v>
      </c>
      <c r="H8" s="41" t="s">
        <v>238</v>
      </c>
      <c r="I8" s="41" t="s">
        <v>239</v>
      </c>
      <c r="J8" s="41" t="s">
        <v>241</v>
      </c>
      <c r="K8" s="41" t="s">
        <v>244</v>
      </c>
      <c r="L8" s="41" t="s">
        <v>246</v>
      </c>
      <c r="M8" s="41" t="s">
        <v>250</v>
      </c>
      <c r="N8" s="41" t="s">
        <v>251</v>
      </c>
      <c r="O8" s="43" t="s">
        <v>66</v>
      </c>
      <c r="P8" s="49" t="s">
        <v>256</v>
      </c>
      <c r="Q8" s="49" t="s">
        <v>23</v>
      </c>
      <c r="R8" s="49" t="s">
        <v>157</v>
      </c>
      <c r="S8" s="51">
        <v>46283.0</v>
      </c>
    </row>
    <row r="9" ht="36.0" customHeight="1">
      <c r="B9" s="19" t="s">
        <v>263</v>
      </c>
      <c r="C9" s="22" t="s">
        <v>265</v>
      </c>
      <c r="D9" s="26" t="s">
        <v>16</v>
      </c>
      <c r="E9" s="26" t="s">
        <v>18</v>
      </c>
      <c r="F9" s="22" t="s">
        <v>269</v>
      </c>
      <c r="G9" s="22" t="s">
        <v>271</v>
      </c>
      <c r="H9" s="22" t="s">
        <v>273</v>
      </c>
      <c r="I9" s="22" t="s">
        <v>137</v>
      </c>
      <c r="J9" s="22" t="s">
        <v>277</v>
      </c>
      <c r="K9" s="22" t="s">
        <v>279</v>
      </c>
      <c r="L9" s="22" t="s">
        <v>281</v>
      </c>
      <c r="M9" s="22" t="s">
        <v>283</v>
      </c>
      <c r="N9" s="22" t="s">
        <v>284</v>
      </c>
      <c r="O9" s="26" t="s">
        <v>66</v>
      </c>
      <c r="P9" s="34" t="s">
        <v>155</v>
      </c>
      <c r="Q9" s="34" t="s">
        <v>23</v>
      </c>
      <c r="R9" s="34" t="s">
        <v>157</v>
      </c>
      <c r="S9" s="37">
        <v>46283.0</v>
      </c>
    </row>
    <row r="10" ht="36.0" customHeight="1">
      <c r="B10" s="39" t="s">
        <v>294</v>
      </c>
      <c r="C10" s="41" t="s">
        <v>296</v>
      </c>
      <c r="D10" s="43" t="s">
        <v>27</v>
      </c>
      <c r="E10" s="43" t="s">
        <v>18</v>
      </c>
      <c r="F10" s="41" t="s">
        <v>133</v>
      </c>
      <c r="G10" s="41" t="s">
        <v>298</v>
      </c>
      <c r="H10" s="41" t="s">
        <v>299</v>
      </c>
      <c r="I10" s="41" t="s">
        <v>301</v>
      </c>
      <c r="J10" s="41" t="s">
        <v>302</v>
      </c>
      <c r="K10" s="41" t="s">
        <v>303</v>
      </c>
      <c r="L10" s="41" t="s">
        <v>304</v>
      </c>
      <c r="M10" s="41" t="s">
        <v>306</v>
      </c>
      <c r="N10" s="41" t="s">
        <v>307</v>
      </c>
      <c r="O10" s="43" t="s">
        <v>89</v>
      </c>
      <c r="P10" s="49" t="s">
        <v>104</v>
      </c>
      <c r="Q10" s="49" t="s">
        <v>35</v>
      </c>
      <c r="R10" s="49" t="s">
        <v>157</v>
      </c>
      <c r="S10" s="51">
        <v>46283.0</v>
      </c>
    </row>
    <row r="11" ht="36.0" customHeight="1">
      <c r="B11" s="19" t="s">
        <v>310</v>
      </c>
      <c r="C11" s="22" t="s">
        <v>311</v>
      </c>
      <c r="D11" s="26" t="s">
        <v>39</v>
      </c>
      <c r="E11" s="26" t="s">
        <v>18</v>
      </c>
      <c r="F11" s="22" t="s">
        <v>312</v>
      </c>
      <c r="G11" s="22" t="s">
        <v>313</v>
      </c>
      <c r="H11" s="22" t="s">
        <v>314</v>
      </c>
      <c r="I11" s="22" t="s">
        <v>207</v>
      </c>
      <c r="J11" s="22" t="s">
        <v>315</v>
      </c>
      <c r="K11" s="22" t="s">
        <v>316</v>
      </c>
      <c r="L11" s="22" t="s">
        <v>317</v>
      </c>
      <c r="M11" s="22" t="s">
        <v>318</v>
      </c>
      <c r="N11" s="22" t="s">
        <v>319</v>
      </c>
      <c r="O11" s="26" t="s">
        <v>83</v>
      </c>
      <c r="P11" s="34" t="s">
        <v>108</v>
      </c>
      <c r="Q11" s="34" t="s">
        <v>35</v>
      </c>
      <c r="R11" s="34" t="s">
        <v>157</v>
      </c>
      <c r="S11" s="37">
        <v>46283.0</v>
      </c>
    </row>
    <row r="12" ht="36.0" customHeight="1">
      <c r="B12" s="67" t="s">
        <v>320</v>
      </c>
      <c r="C12" s="69" t="s">
        <v>321</v>
      </c>
      <c r="D12" s="72" t="s">
        <v>54</v>
      </c>
      <c r="E12" s="72" t="s">
        <v>18</v>
      </c>
      <c r="F12" s="69" t="s">
        <v>323</v>
      </c>
      <c r="G12" s="69" t="s">
        <v>324</v>
      </c>
      <c r="H12" s="69" t="s">
        <v>325</v>
      </c>
      <c r="I12" s="69" t="s">
        <v>326</v>
      </c>
      <c r="J12" s="69" t="s">
        <v>327</v>
      </c>
      <c r="K12" s="69" t="s">
        <v>328</v>
      </c>
      <c r="L12" s="69" t="s">
        <v>330</v>
      </c>
      <c r="M12" s="69" t="s">
        <v>331</v>
      </c>
      <c r="N12" s="69" t="s">
        <v>332</v>
      </c>
      <c r="O12" s="72" t="s">
        <v>66</v>
      </c>
      <c r="P12" s="73" t="s">
        <v>333</v>
      </c>
      <c r="Q12" s="73" t="s">
        <v>23</v>
      </c>
      <c r="R12" s="73" t="s">
        <v>157</v>
      </c>
      <c r="S12" s="75">
        <v>46283.0</v>
      </c>
    </row>
    <row r="13" ht="26.25" customHeight="1">
      <c r="B13" s="77" t="s">
        <v>335</v>
      </c>
      <c r="C13" s="77" t="s">
        <v>337</v>
      </c>
      <c r="D13" s="77" t="s">
        <v>39</v>
      </c>
      <c r="E13" s="77" t="s">
        <v>29</v>
      </c>
      <c r="F13" s="77" t="s">
        <v>339</v>
      </c>
      <c r="G13" s="77" t="s">
        <v>340</v>
      </c>
      <c r="H13" s="77" t="s">
        <v>206</v>
      </c>
      <c r="I13" s="77" t="s">
        <v>341</v>
      </c>
      <c r="J13" s="77" t="s">
        <v>342</v>
      </c>
      <c r="K13" s="77" t="s">
        <v>343</v>
      </c>
      <c r="L13" s="77" t="s">
        <v>344</v>
      </c>
      <c r="M13" s="77" t="s">
        <v>345</v>
      </c>
      <c r="N13" s="77" t="s">
        <v>346</v>
      </c>
      <c r="O13" s="77" t="s">
        <v>83</v>
      </c>
      <c r="P13" s="79" t="s">
        <v>108</v>
      </c>
      <c r="Q13" s="79" t="s">
        <v>23</v>
      </c>
      <c r="R13" s="79" t="s">
        <v>157</v>
      </c>
      <c r="S13" s="81">
        <v>46283.0</v>
      </c>
    </row>
    <row r="14" ht="26.25" customHeight="1">
      <c r="B14" s="83" t="s">
        <v>348</v>
      </c>
      <c r="C14" s="83" t="s">
        <v>349</v>
      </c>
      <c r="D14" s="83" t="s">
        <v>39</v>
      </c>
      <c r="E14" s="83" t="s">
        <v>77</v>
      </c>
      <c r="F14" s="83" t="s">
        <v>351</v>
      </c>
      <c r="G14" s="83" t="s">
        <v>352</v>
      </c>
      <c r="H14" s="83" t="s">
        <v>314</v>
      </c>
      <c r="I14" s="83" t="s">
        <v>353</v>
      </c>
      <c r="J14" s="83" t="s">
        <v>354</v>
      </c>
      <c r="K14" s="83" t="s">
        <v>355</v>
      </c>
      <c r="L14" s="83" t="s">
        <v>356</v>
      </c>
      <c r="M14" s="83" t="s">
        <v>357</v>
      </c>
      <c r="N14" s="83" t="s">
        <v>358</v>
      </c>
      <c r="O14" s="83" t="s">
        <v>83</v>
      </c>
      <c r="P14" s="85" t="s">
        <v>108</v>
      </c>
      <c r="Q14" s="85" t="s">
        <v>35</v>
      </c>
      <c r="R14" s="85" t="s">
        <v>157</v>
      </c>
      <c r="S14" s="87">
        <v>46283.0</v>
      </c>
    </row>
    <row r="15" ht="26.25" customHeight="1"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</row>
    <row r="16" ht="26.25" customHeight="1"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</row>
    <row r="17" ht="26.25" customHeight="1"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</row>
    <row r="18" ht="26.25" customHeight="1"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</row>
    <row r="19" ht="26.25" customHeight="1"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</row>
    <row r="20" ht="26.25" customHeight="1"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</row>
    <row r="21" ht="26.25" customHeight="1"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</row>
    <row r="22" ht="26.25" customHeight="1"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</row>
    <row r="23" ht="26.25" customHeight="1"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</row>
    <row r="24" ht="26.25" customHeight="1"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</row>
    <row r="25" ht="26.25" customHeight="1"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</row>
    <row r="26" ht="26.25" customHeight="1"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</row>
    <row r="27" ht="26.25" customHeight="1"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</row>
    <row r="28" ht="26.25" customHeight="1"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</row>
    <row r="29" ht="26.25" customHeight="1"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</row>
    <row r="30" ht="26.25" customHeight="1"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</row>
    <row r="31"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</row>
    <row r="32"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</row>
    <row r="33"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</row>
    <row r="34"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</row>
    <row r="3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</row>
  </sheetData>
  <mergeCells count="2">
    <mergeCell ref="B2:S2"/>
    <mergeCell ref="B3:S3"/>
  </mergeCells>
  <dataValidations>
    <dataValidation type="list" allowBlank="1" sqref="D5:D12">
      <formula1>"MODE 1 — BHT KNOWLEDGE,MODE 2 — TRIAL KNOWLEDGE,MODE 3 — CASSATION TRIAGE,MODE 4 — JUDICIAL LEARNING"</formula1>
    </dataValidation>
    <dataValidation type="list" allowBlank="1" sqref="M5:M12">
      <formula1>"PASS,NEEDS REVIEW,INSUFFICIENT EVIDENCE"</formula1>
    </dataValidation>
    <dataValidation type="list" allowBlank="1" sqref="P5:P12">
      <formula1>"AI-Ready (Traceable),AI-Ready (Educational),AI-Ready (Institutional),Decision Support Only,Non-Binding Triage"</formula1>
    </dataValidation>
    <dataValidation type="list" allowBlank="1" sqref="E5:E12">
      <formula1>"PIDANA,PERDATA,AGAMA,MILITER,TUN"</formula1>
    </dataValidation>
    <dataValidation type="list" allowBlank="1" sqref="O5:O12">
      <formula1>"PUBLIC,INTERNAL,RESTRICTED,CONFIDENTIAL,SENSITIVE"</formula1>
    </dataValidation>
    <dataValidation type="list" allowBlank="1" sqref="Q5:Q12">
      <formula1>"PASS,NEEDS REVIEW,INSUFFICIENT EVIDENCE"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13"/>
    <col customWidth="1" min="2" max="2" width="15.13"/>
    <col customWidth="1" min="3" max="3" width="16.38"/>
    <col customWidth="1" min="4" max="4" width="35.13"/>
    <col customWidth="1" min="5" max="5" width="16.38"/>
    <col customWidth="1" min="6" max="6" width="22.63"/>
    <col customWidth="1" min="7" max="7" width="25.13"/>
    <col customWidth="1" min="8" max="8" width="32.63"/>
    <col customWidth="1" min="9" max="9" width="15.13"/>
    <col customWidth="1" min="10" max="10" width="27.63"/>
    <col customWidth="1" min="11" max="11" width="23.88"/>
    <col customWidth="1" min="12" max="12" width="20.13"/>
    <col customWidth="1" min="13" max="13" width="32.63"/>
    <col customWidth="1" min="14" max="14" width="17.63"/>
  </cols>
  <sheetData>
    <row r="1" ht="6.75" customHeight="1"/>
    <row r="2" ht="33.0" customHeight="1">
      <c r="B2" s="2" t="s">
        <v>3</v>
      </c>
    </row>
    <row r="3" ht="21.0" customHeight="1">
      <c r="B3" s="8" t="s">
        <v>6</v>
      </c>
    </row>
    <row r="4" ht="27.0" customHeight="1">
      <c r="B4" s="16" t="s">
        <v>26</v>
      </c>
      <c r="C4" s="16" t="s">
        <v>43</v>
      </c>
      <c r="D4" s="16" t="s">
        <v>47</v>
      </c>
      <c r="E4" s="16" t="s">
        <v>50</v>
      </c>
      <c r="F4" s="16" t="s">
        <v>53</v>
      </c>
      <c r="G4" s="16" t="s">
        <v>57</v>
      </c>
      <c r="H4" s="16" t="s">
        <v>61</v>
      </c>
      <c r="I4" s="16" t="s">
        <v>64</v>
      </c>
      <c r="J4" s="16" t="s">
        <v>67</v>
      </c>
      <c r="K4" s="16" t="s">
        <v>70</v>
      </c>
      <c r="L4" s="16" t="s">
        <v>71</v>
      </c>
      <c r="M4" s="16" t="s">
        <v>72</v>
      </c>
      <c r="N4" s="16" t="s">
        <v>74</v>
      </c>
    </row>
    <row r="5" ht="31.5" customHeight="1">
      <c r="B5" s="20" t="s">
        <v>75</v>
      </c>
      <c r="C5" s="23" t="s">
        <v>78</v>
      </c>
      <c r="D5" s="27" t="s">
        <v>117</v>
      </c>
      <c r="E5" s="29" t="s">
        <v>22</v>
      </c>
      <c r="F5" s="27" t="s">
        <v>143</v>
      </c>
      <c r="G5" s="27" t="s">
        <v>145</v>
      </c>
      <c r="H5" s="31" t="s">
        <v>147</v>
      </c>
      <c r="I5" s="32" t="s">
        <v>150</v>
      </c>
      <c r="J5" s="27" t="s">
        <v>151</v>
      </c>
      <c r="K5" s="27" t="s">
        <v>152</v>
      </c>
      <c r="L5" s="33" t="s">
        <v>153</v>
      </c>
      <c r="M5" s="27" t="s">
        <v>154</v>
      </c>
      <c r="N5" s="32" t="s">
        <v>23</v>
      </c>
    </row>
    <row r="6" ht="31.5" customHeight="1">
      <c r="B6" s="35" t="s">
        <v>156</v>
      </c>
      <c r="C6" s="36" t="s">
        <v>158</v>
      </c>
      <c r="D6" s="38" t="s">
        <v>159</v>
      </c>
      <c r="E6" s="40" t="s">
        <v>22</v>
      </c>
      <c r="F6" s="38" t="s">
        <v>162</v>
      </c>
      <c r="G6" s="38" t="s">
        <v>163</v>
      </c>
      <c r="H6" s="42" t="s">
        <v>164</v>
      </c>
      <c r="I6" s="45" t="s">
        <v>150</v>
      </c>
      <c r="J6" s="38" t="s">
        <v>165</v>
      </c>
      <c r="K6" s="38" t="s">
        <v>167</v>
      </c>
      <c r="L6" s="47" t="s">
        <v>171</v>
      </c>
      <c r="M6" s="38" t="s">
        <v>177</v>
      </c>
      <c r="N6" s="45" t="s">
        <v>23</v>
      </c>
    </row>
    <row r="7" ht="31.5" customHeight="1">
      <c r="B7" s="20" t="s">
        <v>178</v>
      </c>
      <c r="C7" s="23" t="s">
        <v>78</v>
      </c>
      <c r="D7" s="27" t="s">
        <v>179</v>
      </c>
      <c r="E7" s="29" t="s">
        <v>22</v>
      </c>
      <c r="F7" s="27" t="s">
        <v>180</v>
      </c>
      <c r="G7" s="27" t="s">
        <v>181</v>
      </c>
      <c r="H7" s="31" t="s">
        <v>182</v>
      </c>
      <c r="I7" s="32" t="s">
        <v>150</v>
      </c>
      <c r="J7" s="27" t="s">
        <v>184</v>
      </c>
      <c r="K7" s="27" t="s">
        <v>185</v>
      </c>
      <c r="L7" s="33" t="s">
        <v>186</v>
      </c>
      <c r="M7" s="27" t="s">
        <v>187</v>
      </c>
      <c r="N7" s="32" t="s">
        <v>23</v>
      </c>
    </row>
    <row r="8" ht="31.5" customHeight="1">
      <c r="B8" s="35" t="s">
        <v>190</v>
      </c>
      <c r="C8" s="36" t="s">
        <v>46</v>
      </c>
      <c r="D8" s="38" t="s">
        <v>192</v>
      </c>
      <c r="E8" s="40" t="s">
        <v>46</v>
      </c>
      <c r="F8" s="38" t="s">
        <v>194</v>
      </c>
      <c r="G8" s="38" t="s">
        <v>195</v>
      </c>
      <c r="H8" s="42" t="s">
        <v>196</v>
      </c>
      <c r="I8" s="45" t="s">
        <v>150</v>
      </c>
      <c r="J8" s="38" t="s">
        <v>197</v>
      </c>
      <c r="K8" s="38" t="s">
        <v>198</v>
      </c>
      <c r="L8" s="47" t="s">
        <v>200</v>
      </c>
      <c r="M8" s="38" t="s">
        <v>201</v>
      </c>
      <c r="N8" s="45" t="s">
        <v>23</v>
      </c>
    </row>
    <row r="9" ht="31.5" customHeight="1">
      <c r="B9" s="20" t="s">
        <v>203</v>
      </c>
      <c r="C9" s="23" t="s">
        <v>205</v>
      </c>
      <c r="D9" s="27" t="s">
        <v>208</v>
      </c>
      <c r="E9" s="29" t="s">
        <v>34</v>
      </c>
      <c r="F9" s="27" t="s">
        <v>211</v>
      </c>
      <c r="G9" s="27" t="s">
        <v>213</v>
      </c>
      <c r="H9" s="31" t="s">
        <v>214</v>
      </c>
      <c r="I9" s="32" t="s">
        <v>150</v>
      </c>
      <c r="J9" s="27" t="s">
        <v>216</v>
      </c>
      <c r="K9" s="27" t="s">
        <v>218</v>
      </c>
      <c r="L9" s="33" t="s">
        <v>219</v>
      </c>
      <c r="M9" s="27" t="s">
        <v>220</v>
      </c>
      <c r="N9" s="32" t="s">
        <v>35</v>
      </c>
    </row>
    <row r="10" ht="31.5" customHeight="1">
      <c r="B10" s="35" t="s">
        <v>221</v>
      </c>
      <c r="C10" s="36" t="s">
        <v>78</v>
      </c>
      <c r="D10" s="38" t="s">
        <v>222</v>
      </c>
      <c r="E10" s="40" t="s">
        <v>46</v>
      </c>
      <c r="F10" s="38" t="s">
        <v>223</v>
      </c>
      <c r="G10" s="38" t="s">
        <v>224</v>
      </c>
      <c r="H10" s="42" t="s">
        <v>225</v>
      </c>
      <c r="I10" s="45" t="s">
        <v>150</v>
      </c>
      <c r="J10" s="38" t="s">
        <v>229</v>
      </c>
      <c r="K10" s="38" t="s">
        <v>230</v>
      </c>
      <c r="L10" s="47" t="s">
        <v>231</v>
      </c>
      <c r="M10" s="38" t="s">
        <v>232</v>
      </c>
      <c r="N10" s="45" t="s">
        <v>23</v>
      </c>
    </row>
    <row r="11" ht="31.5" customHeight="1">
      <c r="B11" s="20" t="s">
        <v>233</v>
      </c>
      <c r="C11" s="23" t="s">
        <v>235</v>
      </c>
      <c r="D11" s="27" t="s">
        <v>237</v>
      </c>
      <c r="E11" s="29" t="s">
        <v>34</v>
      </c>
      <c r="F11" s="27" t="s">
        <v>240</v>
      </c>
      <c r="G11" s="27" t="s">
        <v>242</v>
      </c>
      <c r="H11" s="31" t="s">
        <v>243</v>
      </c>
      <c r="I11" s="32" t="s">
        <v>150</v>
      </c>
      <c r="J11" s="27" t="s">
        <v>245</v>
      </c>
      <c r="K11" s="27" t="s">
        <v>247</v>
      </c>
      <c r="L11" s="33" t="s">
        <v>248</v>
      </c>
      <c r="M11" s="27" t="s">
        <v>249</v>
      </c>
      <c r="N11" s="32" t="s">
        <v>23</v>
      </c>
    </row>
    <row r="12" ht="31.5" customHeight="1">
      <c r="B12" s="35" t="s">
        <v>253</v>
      </c>
      <c r="C12" s="36" t="s">
        <v>254</v>
      </c>
      <c r="D12" s="38" t="s">
        <v>255</v>
      </c>
      <c r="E12" s="40" t="s">
        <v>63</v>
      </c>
      <c r="F12" s="38" t="s">
        <v>257</v>
      </c>
      <c r="G12" s="38" t="s">
        <v>258</v>
      </c>
      <c r="H12" s="42" t="s">
        <v>259</v>
      </c>
      <c r="I12" s="45" t="s">
        <v>150</v>
      </c>
      <c r="J12" s="38" t="s">
        <v>260</v>
      </c>
      <c r="K12" s="38" t="s">
        <v>261</v>
      </c>
      <c r="L12" s="47" t="s">
        <v>262</v>
      </c>
      <c r="M12" s="38" t="s">
        <v>264</v>
      </c>
      <c r="N12" s="45" t="s">
        <v>35</v>
      </c>
    </row>
    <row r="13" ht="31.5" customHeight="1">
      <c r="B13" s="20" t="s">
        <v>266</v>
      </c>
      <c r="C13" s="23" t="s">
        <v>78</v>
      </c>
      <c r="D13" s="27" t="s">
        <v>267</v>
      </c>
      <c r="E13" s="29" t="s">
        <v>22</v>
      </c>
      <c r="F13" s="27" t="s">
        <v>268</v>
      </c>
      <c r="G13" s="27" t="s">
        <v>270</v>
      </c>
      <c r="H13" s="31" t="s">
        <v>272</v>
      </c>
      <c r="I13" s="32" t="s">
        <v>150</v>
      </c>
      <c r="J13" s="27" t="s">
        <v>275</v>
      </c>
      <c r="K13" s="27" t="s">
        <v>276</v>
      </c>
      <c r="L13" s="33" t="s">
        <v>278</v>
      </c>
      <c r="M13" s="27" t="s">
        <v>280</v>
      </c>
      <c r="N13" s="32" t="s">
        <v>23</v>
      </c>
    </row>
    <row r="14" ht="31.5" customHeight="1">
      <c r="B14" s="35" t="s">
        <v>282</v>
      </c>
      <c r="C14" s="36" t="s">
        <v>81</v>
      </c>
      <c r="D14" s="38" t="s">
        <v>285</v>
      </c>
      <c r="E14" s="40" t="s">
        <v>81</v>
      </c>
      <c r="F14" s="38" t="s">
        <v>287</v>
      </c>
      <c r="G14" s="38" t="s">
        <v>288</v>
      </c>
      <c r="H14" s="42" t="s">
        <v>289</v>
      </c>
      <c r="I14" s="45" t="s">
        <v>290</v>
      </c>
      <c r="J14" s="38" t="s">
        <v>291</v>
      </c>
      <c r="K14" s="38" t="s">
        <v>293</v>
      </c>
      <c r="L14" s="47" t="s">
        <v>295</v>
      </c>
      <c r="M14" s="38" t="s">
        <v>297</v>
      </c>
      <c r="N14" s="45" t="s">
        <v>49</v>
      </c>
    </row>
    <row r="15" ht="26.25" customHeight="1"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</row>
    <row r="16" ht="26.25" customHeight="1"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</row>
    <row r="17" ht="26.25" customHeight="1"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</row>
    <row r="18" ht="26.25" customHeight="1"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</row>
    <row r="19" ht="26.25" customHeight="1"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</row>
    <row r="20" ht="26.25" customHeight="1"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</row>
    <row r="21" ht="26.25" customHeight="1"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</row>
    <row r="22" ht="26.25" customHeight="1"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</row>
    <row r="23" ht="26.25" customHeight="1"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</row>
    <row r="24" ht="26.25" customHeight="1"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</row>
    <row r="25" ht="26.25" customHeight="1"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</row>
    <row r="26" ht="26.25" customHeight="1"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</row>
    <row r="27" ht="26.25" customHeight="1"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</row>
    <row r="28" ht="26.25" customHeight="1"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</row>
    <row r="29" ht="26.25" customHeight="1"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</row>
    <row r="30" ht="26.25" customHeight="1"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</row>
    <row r="31"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</row>
    <row r="32"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</row>
    <row r="33"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</row>
    <row r="34"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</row>
    <row r="3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</row>
  </sheetData>
  <mergeCells count="2">
    <mergeCell ref="B2:N2"/>
    <mergeCell ref="B3:N3"/>
  </mergeCells>
  <conditionalFormatting sqref="M5:M14">
    <cfRule type="cellIs" dxfId="0" priority="1" stopIfTrue="1" operator="equal">
      <formula>"PASS"</formula>
    </cfRule>
  </conditionalFormatting>
  <conditionalFormatting sqref="M5:M14">
    <cfRule type="cellIs" dxfId="1" priority="2" stopIfTrue="1" operator="equal">
      <formula>"NEEDS REVIEW"</formula>
    </cfRule>
  </conditionalFormatting>
  <conditionalFormatting sqref="M5:M14">
    <cfRule type="cellIs" dxfId="2" priority="3" stopIfTrue="1" operator="equal">
      <formula>"INSUFFICIENT EVIDENCE"</formula>
    </cfRule>
  </conditionalFormatting>
  <dataValidations>
    <dataValidation type="list" allowBlank="1" sqref="M5:M14">
      <formula1>"PASS,NEEDS REVIEW,INSUFFICIENT EVIDENCE"</formula1>
    </dataValidation>
    <dataValidation type="list" allowBlank="1" sqref="D5:D14">
      <formula1>"OBSERVED,INFERRED,VERIFIED,DISPUTED,UNKNOWN"</formula1>
    </dataValidation>
    <dataValidation type="list" allowBlank="1" sqref="E5:E14">
      <formula1>"OBSERVED,INFERRED,VERIFIED,DISPUTED,UNKNOWN"</formula1>
    </dataValidation>
    <dataValidation type="list" allowBlank="1" sqref="N5:N14">
      <formula1>"PASS,NEEDS REVIEW,INSUFFICIENT EVIDENCE"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13"/>
    <col customWidth="1" min="2" max="3" width="15.13"/>
    <col customWidth="1" min="4" max="4" width="42.63"/>
    <col customWidth="1" min="5" max="5" width="18.88"/>
    <col customWidth="1" min="6" max="6" width="15.13"/>
    <col customWidth="1" min="7" max="7" width="20.13"/>
    <col customWidth="1" min="8" max="8" width="17.63"/>
    <col customWidth="1" min="9" max="10" width="22.63"/>
    <col customWidth="1" min="11" max="11" width="17.63"/>
    <col customWidth="1" min="12" max="12" width="32.63"/>
  </cols>
  <sheetData>
    <row r="1" ht="6.75" customHeight="1"/>
    <row r="2" ht="33.0" customHeight="1">
      <c r="B2" s="2" t="s">
        <v>386</v>
      </c>
    </row>
    <row r="3" ht="21.0" customHeight="1">
      <c r="B3" s="8" t="s">
        <v>387</v>
      </c>
    </row>
    <row r="4" ht="27.0" customHeight="1">
      <c r="B4" s="16" t="s">
        <v>388</v>
      </c>
      <c r="C4" s="16" t="s">
        <v>15</v>
      </c>
      <c r="D4" s="16" t="s">
        <v>389</v>
      </c>
      <c r="E4" s="16" t="s">
        <v>390</v>
      </c>
      <c r="F4" s="16" t="s">
        <v>391</v>
      </c>
      <c r="G4" s="16" t="s">
        <v>392</v>
      </c>
      <c r="H4" s="16" t="s">
        <v>393</v>
      </c>
      <c r="I4" s="16" t="s">
        <v>394</v>
      </c>
      <c r="J4" s="16" t="s">
        <v>395</v>
      </c>
      <c r="K4" s="16" t="s">
        <v>74</v>
      </c>
      <c r="L4" s="16" t="s">
        <v>396</v>
      </c>
    </row>
    <row r="5" ht="30.0" customHeight="1">
      <c r="B5" s="23" t="s">
        <v>397</v>
      </c>
      <c r="C5" s="33" t="s">
        <v>73</v>
      </c>
      <c r="D5" s="27" t="s">
        <v>398</v>
      </c>
      <c r="E5" s="32" t="s">
        <v>60</v>
      </c>
      <c r="F5" s="32" t="s">
        <v>75</v>
      </c>
      <c r="G5" s="32" t="s">
        <v>150</v>
      </c>
      <c r="H5" s="32" t="s">
        <v>24</v>
      </c>
      <c r="I5" s="27" t="s">
        <v>399</v>
      </c>
      <c r="J5" s="32" t="s">
        <v>88</v>
      </c>
      <c r="K5" s="32" t="s">
        <v>23</v>
      </c>
      <c r="L5" s="27" t="s">
        <v>400</v>
      </c>
    </row>
    <row r="6" ht="30.0" customHeight="1">
      <c r="B6" s="36" t="s">
        <v>401</v>
      </c>
      <c r="C6" s="47" t="s">
        <v>73</v>
      </c>
      <c r="D6" s="38" t="s">
        <v>402</v>
      </c>
      <c r="E6" s="45" t="s">
        <v>20</v>
      </c>
      <c r="F6" s="45" t="s">
        <v>75</v>
      </c>
      <c r="G6" s="45" t="s">
        <v>150</v>
      </c>
      <c r="H6" s="45" t="s">
        <v>109</v>
      </c>
      <c r="I6" s="38" t="s">
        <v>403</v>
      </c>
      <c r="J6" s="45" t="s">
        <v>88</v>
      </c>
      <c r="K6" s="45" t="s">
        <v>23</v>
      </c>
      <c r="L6" s="38" t="s">
        <v>404</v>
      </c>
    </row>
    <row r="7" ht="30.0" customHeight="1">
      <c r="B7" s="23" t="s">
        <v>405</v>
      </c>
      <c r="C7" s="33" t="s">
        <v>160</v>
      </c>
      <c r="D7" s="27" t="s">
        <v>406</v>
      </c>
      <c r="E7" s="32" t="s">
        <v>87</v>
      </c>
      <c r="F7" s="32" t="s">
        <v>178</v>
      </c>
      <c r="G7" s="32" t="s">
        <v>150</v>
      </c>
      <c r="H7" s="32" t="s">
        <v>105</v>
      </c>
      <c r="I7" s="27" t="s">
        <v>166</v>
      </c>
      <c r="J7" s="32" t="s">
        <v>48</v>
      </c>
      <c r="K7" s="32" t="s">
        <v>35</v>
      </c>
      <c r="L7" s="27" t="s">
        <v>407</v>
      </c>
    </row>
    <row r="8" ht="30.0" customHeight="1">
      <c r="B8" s="36" t="s">
        <v>408</v>
      </c>
      <c r="C8" s="47" t="s">
        <v>160</v>
      </c>
      <c r="D8" s="38" t="s">
        <v>409</v>
      </c>
      <c r="E8" s="45" t="s">
        <v>20</v>
      </c>
      <c r="F8" s="45" t="s">
        <v>190</v>
      </c>
      <c r="G8" s="45" t="s">
        <v>150</v>
      </c>
      <c r="H8" s="45" t="s">
        <v>109</v>
      </c>
      <c r="I8" s="38" t="s">
        <v>410</v>
      </c>
      <c r="J8" s="45" t="s">
        <v>88</v>
      </c>
      <c r="K8" s="45" t="s">
        <v>23</v>
      </c>
      <c r="L8" s="38" t="s">
        <v>411</v>
      </c>
    </row>
    <row r="9" ht="30.0" customHeight="1">
      <c r="B9" s="23" t="s">
        <v>412</v>
      </c>
      <c r="C9" s="33" t="s">
        <v>189</v>
      </c>
      <c r="D9" s="27" t="s">
        <v>413</v>
      </c>
      <c r="E9" s="32" t="s">
        <v>60</v>
      </c>
      <c r="F9" s="32" t="s">
        <v>156</v>
      </c>
      <c r="G9" s="32" t="s">
        <v>150</v>
      </c>
      <c r="H9" s="32" t="s">
        <v>24</v>
      </c>
      <c r="I9" s="27" t="s">
        <v>414</v>
      </c>
      <c r="J9" s="32" t="s">
        <v>88</v>
      </c>
      <c r="K9" s="32" t="s">
        <v>35</v>
      </c>
      <c r="L9" s="27" t="s">
        <v>415</v>
      </c>
    </row>
    <row r="10" ht="30.0" customHeight="1">
      <c r="B10" s="36" t="s">
        <v>416</v>
      </c>
      <c r="C10" s="47" t="s">
        <v>226</v>
      </c>
      <c r="D10" s="38" t="s">
        <v>417</v>
      </c>
      <c r="E10" s="45" t="s">
        <v>102</v>
      </c>
      <c r="F10" s="45" t="s">
        <v>203</v>
      </c>
      <c r="G10" s="45" t="s">
        <v>150</v>
      </c>
      <c r="H10" s="45" t="s">
        <v>84</v>
      </c>
      <c r="I10" s="38" t="s">
        <v>418</v>
      </c>
      <c r="J10" s="45" t="s">
        <v>48</v>
      </c>
      <c r="K10" s="45" t="s">
        <v>23</v>
      </c>
      <c r="L10" s="38" t="s">
        <v>419</v>
      </c>
    </row>
    <row r="11" ht="30.0" customHeight="1">
      <c r="B11" s="23" t="s">
        <v>420</v>
      </c>
      <c r="C11" s="33" t="s">
        <v>226</v>
      </c>
      <c r="D11" s="27" t="s">
        <v>421</v>
      </c>
      <c r="E11" s="32" t="s">
        <v>97</v>
      </c>
      <c r="F11" s="32" t="s">
        <v>221</v>
      </c>
      <c r="G11" s="32" t="s">
        <v>150</v>
      </c>
      <c r="H11" s="32" t="s">
        <v>113</v>
      </c>
      <c r="I11" s="27" t="s">
        <v>422</v>
      </c>
      <c r="J11" s="32" t="s">
        <v>88</v>
      </c>
      <c r="K11" s="32" t="s">
        <v>23</v>
      </c>
      <c r="L11" s="27" t="s">
        <v>423</v>
      </c>
    </row>
    <row r="12" ht="30.0" customHeight="1">
      <c r="B12" s="36" t="s">
        <v>424</v>
      </c>
      <c r="C12" s="47" t="s">
        <v>263</v>
      </c>
      <c r="D12" s="38" t="s">
        <v>425</v>
      </c>
      <c r="E12" s="45" t="s">
        <v>80</v>
      </c>
      <c r="F12" s="45" t="s">
        <v>233</v>
      </c>
      <c r="G12" s="45" t="s">
        <v>150</v>
      </c>
      <c r="H12" s="45" t="s">
        <v>105</v>
      </c>
      <c r="I12" s="38" t="s">
        <v>426</v>
      </c>
      <c r="J12" s="45" t="s">
        <v>88</v>
      </c>
      <c r="K12" s="45" t="s">
        <v>23</v>
      </c>
      <c r="L12" s="38" t="s">
        <v>427</v>
      </c>
    </row>
    <row r="13" ht="30.0" customHeight="1">
      <c r="B13" s="23" t="s">
        <v>428</v>
      </c>
      <c r="C13" s="33" t="s">
        <v>294</v>
      </c>
      <c r="D13" s="27" t="s">
        <v>429</v>
      </c>
      <c r="E13" s="32" t="s">
        <v>20</v>
      </c>
      <c r="F13" s="32" t="s">
        <v>253</v>
      </c>
      <c r="G13" s="32" t="s">
        <v>150</v>
      </c>
      <c r="H13" s="32" t="s">
        <v>90</v>
      </c>
      <c r="I13" s="27" t="s">
        <v>430</v>
      </c>
      <c r="J13" s="32" t="s">
        <v>98</v>
      </c>
      <c r="K13" s="32" t="s">
        <v>35</v>
      </c>
      <c r="L13" s="27" t="s">
        <v>431</v>
      </c>
    </row>
    <row r="14" ht="26.25" customHeight="1"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</row>
    <row r="15" ht="26.25" customHeight="1"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</row>
    <row r="16" ht="26.25" customHeight="1"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</row>
    <row r="17" ht="26.25" customHeight="1"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</row>
    <row r="18" ht="26.25" customHeight="1"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</row>
    <row r="19" ht="26.25" customHeight="1"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</row>
    <row r="20" ht="26.25" customHeight="1"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</row>
    <row r="21" ht="26.25" customHeight="1"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</row>
    <row r="22" ht="26.25" customHeight="1"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ht="26.25" customHeight="1"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</row>
    <row r="24" ht="26.25" customHeight="1"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</row>
    <row r="25" ht="26.25" customHeight="1"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</row>
    <row r="26" ht="26.25" customHeight="1"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</row>
    <row r="27" ht="26.25" customHeight="1"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</row>
    <row r="28" ht="26.25" customHeight="1"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</row>
    <row r="29" ht="26.25" customHeight="1"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</row>
    <row r="30" ht="26.25" customHeight="1"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</row>
    <row r="31"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</row>
    <row r="32"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</row>
    <row r="33"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</row>
    <row r="34"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</row>
    <row r="3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</sheetData>
  <mergeCells count="2">
    <mergeCell ref="B2:L2"/>
    <mergeCell ref="B3:L3"/>
  </mergeCells>
  <conditionalFormatting sqref="J5:J14">
    <cfRule type="cellIs" dxfId="0" priority="1" stopIfTrue="1" operator="equal">
      <formula>"PASS"</formula>
    </cfRule>
  </conditionalFormatting>
  <conditionalFormatting sqref="J5:J14">
    <cfRule type="cellIs" dxfId="1" priority="2" stopIfTrue="1" operator="equal">
      <formula>"NEEDS REVIEW"</formula>
    </cfRule>
  </conditionalFormatting>
  <conditionalFormatting sqref="J5:J14">
    <cfRule type="cellIs" dxfId="2" priority="3" stopIfTrue="1" operator="equal">
      <formula>"INSUFFICIENT EVIDENCE"</formula>
    </cfRule>
  </conditionalFormatting>
  <dataValidations>
    <dataValidation type="list" allowBlank="1" sqref="G5:G14">
      <formula1>"APPLIES,INTERPRETS,CITES,FOLLOWS,DISTINGUISHES,RELATED_TO,SIMILAR_TO,CONTRASTS_WITH,DERIVED_FROM,SUPPORTS,CHALLENGES,IMPLEMENTS,REPLACES,COMPARED_WITH,TEACHES"</formula1>
    </dataValidation>
    <dataValidation type="list" allowBlank="1" sqref="J5:J14">
      <formula1>"PASS,NEEDS REVIEW,INSUFFICIENT EVIDENCE"</formula1>
    </dataValidation>
    <dataValidation type="list" allowBlank="1" sqref="K5:K13">
      <formula1>"PASS,NEEDS REVIEW,INSUFFICIENT EVIDENCE"</formula1>
    </dataValidation>
    <dataValidation type="list" allowBlank="1" sqref="E5:E14">
      <formula1>"FACT,ALLEGATION,ARGUMENT,LEGAL_RULE,PROCEDURAL_RULE,JUDICIAL_FINDING,JUDICIAL_REASONING,HOLDING,RATIO,PRACTICE,POLICY,COMPARATIVE,INFERENCE,OPINION,UNKNOWN"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13"/>
    <col customWidth="1" min="2" max="2" width="13.88"/>
    <col customWidth="1" min="3" max="3" width="20.13"/>
    <col customWidth="1" min="4" max="4" width="37.63"/>
    <col customWidth="1" min="5" max="5" width="45.13"/>
    <col customWidth="1" min="6" max="6" width="27.0"/>
    <col customWidth="1" min="7" max="8" width="17.63"/>
    <col customWidth="1" min="9" max="9" width="37.63"/>
    <col customWidth="1" min="10" max="10" width="18.88"/>
    <col customWidth="1" min="11" max="11" width="37.63"/>
  </cols>
  <sheetData>
    <row r="1" ht="6.75" customHeight="1"/>
    <row r="2" ht="33.0" customHeight="1">
      <c r="B2" s="2" t="s">
        <v>432</v>
      </c>
    </row>
    <row r="3" ht="21.0" customHeight="1">
      <c r="B3" s="8" t="s">
        <v>433</v>
      </c>
    </row>
    <row r="4" ht="27.0" customHeight="1">
      <c r="B4" s="16" t="s">
        <v>434</v>
      </c>
      <c r="C4" s="16" t="s">
        <v>21</v>
      </c>
      <c r="D4" s="16" t="s">
        <v>435</v>
      </c>
      <c r="E4" s="16" t="s">
        <v>436</v>
      </c>
      <c r="F4" s="16" t="s">
        <v>437</v>
      </c>
      <c r="G4" s="16" t="s">
        <v>438</v>
      </c>
      <c r="H4" s="16" t="s">
        <v>439</v>
      </c>
      <c r="I4" s="16" t="s">
        <v>440</v>
      </c>
      <c r="J4" s="16" t="s">
        <v>441</v>
      </c>
      <c r="K4" s="16" t="s">
        <v>442</v>
      </c>
    </row>
    <row r="5" ht="33.0" customHeight="1">
      <c r="B5" s="23" t="s">
        <v>443</v>
      </c>
      <c r="C5" s="104" t="s">
        <v>444</v>
      </c>
      <c r="D5" s="105" t="s">
        <v>445</v>
      </c>
      <c r="E5" s="27" t="s">
        <v>446</v>
      </c>
      <c r="F5" s="32" t="s">
        <v>447</v>
      </c>
      <c r="G5" s="106" t="s">
        <v>397</v>
      </c>
      <c r="H5" s="106" t="s">
        <v>75</v>
      </c>
      <c r="I5" s="107" t="s">
        <v>448</v>
      </c>
      <c r="J5" s="32" t="s">
        <v>451</v>
      </c>
      <c r="K5" s="27" t="s">
        <v>452</v>
      </c>
    </row>
    <row r="6" ht="33.0" customHeight="1">
      <c r="B6" s="36" t="s">
        <v>456</v>
      </c>
      <c r="C6" s="108" t="s">
        <v>460</v>
      </c>
      <c r="D6" s="109" t="s">
        <v>463</v>
      </c>
      <c r="E6" s="38" t="s">
        <v>467</v>
      </c>
      <c r="F6" s="45" t="s">
        <v>469</v>
      </c>
      <c r="G6" s="110" t="s">
        <v>470</v>
      </c>
      <c r="H6" s="110" t="s">
        <v>471</v>
      </c>
      <c r="I6" s="111" t="s">
        <v>472</v>
      </c>
      <c r="J6" s="45" t="s">
        <v>451</v>
      </c>
      <c r="K6" s="38" t="s">
        <v>474</v>
      </c>
    </row>
    <row r="7" ht="33.0" customHeight="1">
      <c r="B7" s="23" t="s">
        <v>475</v>
      </c>
      <c r="C7" s="104" t="s">
        <v>39</v>
      </c>
      <c r="D7" s="105" t="s">
        <v>476</v>
      </c>
      <c r="E7" s="27" t="s">
        <v>477</v>
      </c>
      <c r="F7" s="32" t="s">
        <v>447</v>
      </c>
      <c r="G7" s="106" t="s">
        <v>412</v>
      </c>
      <c r="H7" s="106" t="s">
        <v>156</v>
      </c>
      <c r="I7" s="107" t="s">
        <v>480</v>
      </c>
      <c r="J7" s="32" t="s">
        <v>451</v>
      </c>
      <c r="K7" s="27" t="s">
        <v>482</v>
      </c>
    </row>
    <row r="8" ht="33.0" customHeight="1">
      <c r="B8" s="36" t="s">
        <v>484</v>
      </c>
      <c r="C8" s="108" t="s">
        <v>485</v>
      </c>
      <c r="D8" s="109" t="s">
        <v>487</v>
      </c>
      <c r="E8" s="38" t="s">
        <v>489</v>
      </c>
      <c r="F8" s="45" t="s">
        <v>490</v>
      </c>
      <c r="G8" s="110" t="s">
        <v>491</v>
      </c>
      <c r="H8" s="110" t="s">
        <v>492</v>
      </c>
      <c r="I8" s="111" t="s">
        <v>493</v>
      </c>
      <c r="J8" s="45" t="s">
        <v>451</v>
      </c>
      <c r="K8" s="38" t="s">
        <v>494</v>
      </c>
    </row>
    <row r="9" ht="33.0" customHeight="1">
      <c r="B9" s="23" t="s">
        <v>496</v>
      </c>
      <c r="C9" s="104" t="s">
        <v>39</v>
      </c>
      <c r="D9" s="105" t="s">
        <v>498</v>
      </c>
      <c r="E9" s="27" t="s">
        <v>502</v>
      </c>
      <c r="F9" s="32" t="s">
        <v>504</v>
      </c>
      <c r="G9" s="106" t="s">
        <v>505</v>
      </c>
      <c r="H9" s="106" t="s">
        <v>203</v>
      </c>
      <c r="I9" s="107" t="s">
        <v>508</v>
      </c>
      <c r="J9" s="32" t="s">
        <v>451</v>
      </c>
      <c r="K9" s="27" t="s">
        <v>511</v>
      </c>
    </row>
    <row r="10" ht="33.0" customHeight="1">
      <c r="B10" s="36" t="s">
        <v>513</v>
      </c>
      <c r="C10" s="108" t="s">
        <v>444</v>
      </c>
      <c r="D10" s="109" t="s">
        <v>516</v>
      </c>
      <c r="E10" s="38" t="s">
        <v>517</v>
      </c>
      <c r="F10" s="45" t="s">
        <v>447</v>
      </c>
      <c r="G10" s="110" t="s">
        <v>424</v>
      </c>
      <c r="H10" s="110" t="s">
        <v>233</v>
      </c>
      <c r="I10" s="111" t="s">
        <v>523</v>
      </c>
      <c r="J10" s="45" t="s">
        <v>451</v>
      </c>
      <c r="K10" s="38" t="s">
        <v>526</v>
      </c>
    </row>
    <row r="11" ht="33.0" customHeight="1">
      <c r="B11" s="23" t="s">
        <v>528</v>
      </c>
      <c r="C11" s="104" t="s">
        <v>460</v>
      </c>
      <c r="D11" s="105" t="s">
        <v>530</v>
      </c>
      <c r="E11" s="27" t="s">
        <v>533</v>
      </c>
      <c r="F11" s="32" t="s">
        <v>469</v>
      </c>
      <c r="G11" s="106" t="s">
        <v>428</v>
      </c>
      <c r="H11" s="106" t="s">
        <v>537</v>
      </c>
      <c r="I11" s="107" t="s">
        <v>539</v>
      </c>
      <c r="J11" s="32" t="s">
        <v>541</v>
      </c>
      <c r="K11" s="27" t="s">
        <v>543</v>
      </c>
    </row>
    <row r="12" ht="33.0" customHeight="1">
      <c r="B12" s="36" t="s">
        <v>546</v>
      </c>
      <c r="C12" s="108" t="s">
        <v>485</v>
      </c>
      <c r="D12" s="109" t="s">
        <v>548</v>
      </c>
      <c r="E12" s="38" t="s">
        <v>550</v>
      </c>
      <c r="F12" s="45" t="s">
        <v>490</v>
      </c>
      <c r="G12" s="110" t="s">
        <v>424</v>
      </c>
      <c r="H12" s="110" t="s">
        <v>75</v>
      </c>
      <c r="I12" s="111" t="s">
        <v>556</v>
      </c>
      <c r="J12" s="45" t="s">
        <v>451</v>
      </c>
      <c r="K12" s="38" t="s">
        <v>562</v>
      </c>
    </row>
    <row r="13" ht="26.25" customHeight="1">
      <c r="B13" s="54"/>
      <c r="C13" s="54"/>
      <c r="D13" s="54"/>
      <c r="E13" s="54"/>
      <c r="F13" s="54"/>
      <c r="G13" s="54"/>
      <c r="H13" s="54"/>
      <c r="I13" s="54"/>
      <c r="J13" s="54"/>
      <c r="K13" s="54"/>
    </row>
    <row r="14" ht="26.25" customHeight="1">
      <c r="B14" s="54"/>
      <c r="C14" s="54"/>
      <c r="D14" s="54"/>
      <c r="E14" s="54"/>
      <c r="F14" s="54"/>
      <c r="G14" s="54"/>
      <c r="H14" s="54"/>
      <c r="I14" s="54"/>
      <c r="J14" s="54"/>
      <c r="K14" s="54"/>
    </row>
    <row r="15" ht="26.25" customHeight="1">
      <c r="B15" s="54"/>
      <c r="C15" s="54"/>
      <c r="D15" s="54"/>
      <c r="E15" s="54"/>
      <c r="F15" s="54"/>
      <c r="G15" s="54"/>
      <c r="H15" s="54"/>
      <c r="I15" s="54"/>
      <c r="J15" s="54"/>
      <c r="K15" s="54"/>
    </row>
    <row r="16" ht="26.25" customHeight="1">
      <c r="B16" s="54"/>
      <c r="C16" s="54"/>
      <c r="D16" s="54"/>
      <c r="E16" s="54"/>
      <c r="F16" s="54"/>
      <c r="G16" s="54"/>
      <c r="H16" s="54"/>
      <c r="I16" s="54"/>
      <c r="J16" s="54"/>
      <c r="K16" s="54"/>
    </row>
    <row r="17" ht="26.25" customHeight="1">
      <c r="B17" s="54"/>
      <c r="C17" s="54"/>
      <c r="D17" s="54"/>
      <c r="E17" s="54"/>
      <c r="F17" s="54"/>
      <c r="G17" s="54"/>
      <c r="H17" s="54"/>
      <c r="I17" s="54"/>
      <c r="J17" s="54"/>
      <c r="K17" s="54"/>
    </row>
    <row r="18" ht="26.25" customHeight="1">
      <c r="B18" s="54"/>
      <c r="C18" s="54"/>
      <c r="D18" s="54"/>
      <c r="E18" s="54"/>
      <c r="F18" s="54"/>
      <c r="G18" s="54"/>
      <c r="H18" s="54"/>
      <c r="I18" s="54"/>
      <c r="J18" s="54"/>
      <c r="K18" s="54"/>
    </row>
    <row r="19" ht="26.25" customHeight="1">
      <c r="B19" s="54"/>
      <c r="C19" s="54"/>
      <c r="D19" s="54"/>
      <c r="E19" s="54"/>
      <c r="F19" s="54"/>
      <c r="G19" s="54"/>
      <c r="H19" s="54"/>
      <c r="I19" s="54"/>
      <c r="J19" s="54"/>
      <c r="K19" s="54"/>
    </row>
    <row r="20" ht="26.25" customHeight="1">
      <c r="B20" s="54"/>
      <c r="C20" s="54"/>
      <c r="D20" s="54"/>
      <c r="E20" s="54"/>
      <c r="F20" s="54"/>
      <c r="G20" s="54"/>
      <c r="H20" s="54"/>
      <c r="I20" s="54"/>
      <c r="J20" s="54"/>
      <c r="K20" s="54"/>
    </row>
    <row r="21" ht="26.25" customHeight="1">
      <c r="B21" s="54"/>
      <c r="C21" s="54"/>
      <c r="D21" s="54"/>
      <c r="E21" s="54"/>
      <c r="F21" s="54"/>
      <c r="G21" s="54"/>
      <c r="H21" s="54"/>
      <c r="I21" s="54"/>
      <c r="J21" s="54"/>
      <c r="K21" s="54"/>
    </row>
    <row r="22" ht="26.25" customHeight="1">
      <c r="B22" s="54"/>
      <c r="C22" s="54"/>
      <c r="D22" s="54"/>
      <c r="E22" s="54"/>
      <c r="F22" s="54"/>
      <c r="G22" s="54"/>
      <c r="H22" s="54"/>
      <c r="I22" s="54"/>
      <c r="J22" s="54"/>
      <c r="K22" s="54"/>
    </row>
    <row r="23" ht="26.25" customHeight="1">
      <c r="B23" s="54"/>
      <c r="C23" s="54"/>
      <c r="D23" s="54"/>
      <c r="E23" s="54"/>
      <c r="F23" s="54"/>
      <c r="G23" s="54"/>
      <c r="H23" s="54"/>
      <c r="I23" s="54"/>
      <c r="J23" s="54"/>
      <c r="K23" s="54"/>
    </row>
    <row r="24" ht="26.25" customHeight="1">
      <c r="B24" s="54"/>
      <c r="C24" s="54"/>
      <c r="D24" s="54"/>
      <c r="E24" s="54"/>
      <c r="F24" s="54"/>
      <c r="G24" s="54"/>
      <c r="H24" s="54"/>
      <c r="I24" s="54"/>
      <c r="J24" s="54"/>
      <c r="K24" s="54"/>
    </row>
    <row r="25" ht="26.25" customHeight="1">
      <c r="B25" s="54"/>
      <c r="C25" s="54"/>
      <c r="D25" s="54"/>
      <c r="E25" s="54"/>
      <c r="F25" s="54"/>
      <c r="G25" s="54"/>
      <c r="H25" s="54"/>
      <c r="I25" s="54"/>
      <c r="J25" s="54"/>
      <c r="K25" s="54"/>
    </row>
    <row r="26" ht="26.25" customHeight="1">
      <c r="B26" s="54"/>
      <c r="C26" s="54"/>
      <c r="D26" s="54"/>
      <c r="E26" s="54"/>
      <c r="F26" s="54"/>
      <c r="G26" s="54"/>
      <c r="H26" s="54"/>
      <c r="I26" s="54"/>
      <c r="J26" s="54"/>
      <c r="K26" s="54"/>
    </row>
    <row r="27" ht="26.25" customHeight="1">
      <c r="B27" s="54"/>
      <c r="C27" s="54"/>
      <c r="D27" s="54"/>
      <c r="E27" s="54"/>
      <c r="F27" s="54"/>
      <c r="G27" s="54"/>
      <c r="H27" s="54"/>
      <c r="I27" s="54"/>
      <c r="J27" s="54"/>
      <c r="K27" s="54"/>
    </row>
    <row r="28" ht="26.25" customHeight="1">
      <c r="B28" s="54"/>
      <c r="C28" s="54"/>
      <c r="D28" s="54"/>
      <c r="E28" s="54"/>
      <c r="F28" s="54"/>
      <c r="G28" s="54"/>
      <c r="H28" s="54"/>
      <c r="I28" s="54"/>
      <c r="J28" s="54"/>
      <c r="K28" s="54"/>
    </row>
    <row r="29" ht="26.25" customHeight="1">
      <c r="B29" s="54"/>
      <c r="C29" s="54"/>
      <c r="D29" s="54"/>
      <c r="E29" s="54"/>
      <c r="F29" s="54"/>
      <c r="G29" s="54"/>
      <c r="H29" s="54"/>
      <c r="I29" s="54"/>
      <c r="J29" s="54"/>
      <c r="K29" s="54"/>
    </row>
    <row r="30" ht="26.25" customHeight="1">
      <c r="B30" s="54"/>
      <c r="C30" s="54"/>
      <c r="D30" s="54"/>
      <c r="E30" s="54"/>
      <c r="F30" s="54"/>
      <c r="G30" s="54"/>
      <c r="H30" s="54"/>
      <c r="I30" s="54"/>
      <c r="J30" s="54"/>
      <c r="K30" s="54"/>
    </row>
    <row r="31">
      <c r="B31" s="54"/>
      <c r="C31" s="54"/>
      <c r="D31" s="54"/>
      <c r="E31" s="54"/>
      <c r="F31" s="54"/>
      <c r="G31" s="54"/>
      <c r="H31" s="54"/>
      <c r="I31" s="54"/>
      <c r="J31" s="54"/>
      <c r="K31" s="54"/>
    </row>
    <row r="32">
      <c r="B32" s="54"/>
      <c r="C32" s="54"/>
      <c r="D32" s="54"/>
      <c r="E32" s="54"/>
      <c r="F32" s="54"/>
      <c r="G32" s="54"/>
      <c r="H32" s="54"/>
      <c r="I32" s="54"/>
      <c r="J32" s="54"/>
      <c r="K32" s="54"/>
    </row>
    <row r="33">
      <c r="B33" s="54"/>
      <c r="C33" s="54"/>
      <c r="D33" s="54"/>
      <c r="E33" s="54"/>
      <c r="F33" s="54"/>
      <c r="G33" s="54"/>
      <c r="H33" s="54"/>
      <c r="I33" s="54"/>
      <c r="J33" s="54"/>
      <c r="K33" s="54"/>
    </row>
    <row r="34">
      <c r="B34" s="54"/>
      <c r="C34" s="54"/>
      <c r="D34" s="54"/>
      <c r="E34" s="54"/>
      <c r="F34" s="54"/>
      <c r="G34" s="54"/>
      <c r="H34" s="54"/>
      <c r="I34" s="54"/>
      <c r="J34" s="54"/>
      <c r="K34" s="54"/>
    </row>
    <row r="35">
      <c r="B35" s="54"/>
      <c r="C35" s="54"/>
      <c r="D35" s="54"/>
      <c r="E35" s="54"/>
      <c r="F35" s="54"/>
      <c r="G35" s="54"/>
      <c r="H35" s="54"/>
      <c r="I35" s="54"/>
      <c r="J35" s="54"/>
      <c r="K35" s="54"/>
    </row>
  </sheetData>
  <mergeCells count="2">
    <mergeCell ref="B2:K2"/>
    <mergeCell ref="B3:K3"/>
  </mergeCells>
  <conditionalFormatting sqref="E5:E12">
    <cfRule type="cellIs" dxfId="8" priority="1" stopIfTrue="1" operator="equal">
      <formula>"QUESTION OF LAW"</formula>
    </cfRule>
  </conditionalFormatting>
  <conditionalFormatting sqref="E5:E12">
    <cfRule type="cellIs" dxfId="9" priority="2" stopIfTrue="1" operator="equal">
      <formula>"QUESTION OF FACT"</formula>
    </cfRule>
  </conditionalFormatting>
  <conditionalFormatting sqref="E5:E12">
    <cfRule type="cellIs" dxfId="10" priority="3" stopIfTrue="1" operator="equal">
      <formula>"MIXED / UNCLEAR"</formula>
    </cfRule>
  </conditionalFormatting>
  <conditionalFormatting sqref="I5:I12">
    <cfRule type="cellIs" dxfId="0" priority="4" stopIfTrue="1" operator="equal">
      <formula>"CITATION READY"</formula>
    </cfRule>
  </conditionalFormatting>
  <dataValidations>
    <dataValidation type="list" allowBlank="1" sqref="I5:I12">
      <formula1>"CITATION READY,NEEDS HUMAN REVIEW,INSUFFICIENT EVIDENCE"</formula1>
    </dataValidation>
    <dataValidation type="list" allowBlank="1" sqref="J5:J12">
      <formula1>"CITATION READY,NEEDS HUMAN REVIEW,UNVERIFIED"</formula1>
    </dataValidation>
    <dataValidation type="list" allowBlank="1" sqref="E5:E12">
      <formula1>"QUESTION OF LAW,QUESTION OF FACT,MIXED / UNCLEAR,NOT APPLICABLE (LEARNING)"</formula1>
    </dataValidation>
    <dataValidation type="list" allowBlank="1" sqref="F5:F12">
      <formula1>"QUESTION OF LAW,QUESTION OF FACT,MIXED / UNCLEAR,NOT APPLICABLE (LEARNING)"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13"/>
    <col customWidth="1" min="2" max="2" width="15.13"/>
    <col customWidth="1" min="3" max="3" width="22.63"/>
    <col customWidth="1" min="4" max="5" width="35.13"/>
    <col customWidth="1" min="6" max="6" width="22.63"/>
    <col customWidth="1" min="7" max="7" width="17.63"/>
    <col customWidth="1" min="8" max="8" width="32.63"/>
    <col customWidth="1" min="9" max="9" width="17.63"/>
    <col customWidth="1" min="10" max="10" width="35.13"/>
  </cols>
  <sheetData>
    <row r="1" ht="6.75" customHeight="1"/>
    <row r="2" ht="33.0" customHeight="1">
      <c r="B2" s="2" t="s">
        <v>449</v>
      </c>
    </row>
    <row r="3" ht="21.0" customHeight="1">
      <c r="B3" s="8" t="s">
        <v>450</v>
      </c>
    </row>
    <row r="4" ht="27.0" customHeight="1">
      <c r="B4" s="16" t="s">
        <v>453</v>
      </c>
      <c r="C4" s="16" t="s">
        <v>454</v>
      </c>
      <c r="D4" s="16" t="s">
        <v>455</v>
      </c>
      <c r="E4" s="16" t="s">
        <v>457</v>
      </c>
      <c r="F4" s="16" t="s">
        <v>458</v>
      </c>
      <c r="G4" s="16" t="s">
        <v>459</v>
      </c>
      <c r="H4" s="16" t="s">
        <v>461</v>
      </c>
      <c r="I4" s="16" t="s">
        <v>65</v>
      </c>
      <c r="J4" s="16" t="s">
        <v>462</v>
      </c>
    </row>
    <row r="5" ht="33.0" customHeight="1">
      <c r="B5" s="23" t="s">
        <v>464</v>
      </c>
      <c r="C5" s="105" t="s">
        <v>465</v>
      </c>
      <c r="D5" s="27" t="s">
        <v>466</v>
      </c>
      <c r="E5" s="27" t="s">
        <v>468</v>
      </c>
      <c r="F5" s="104" t="s">
        <v>473</v>
      </c>
      <c r="G5" s="32" t="s">
        <v>23</v>
      </c>
      <c r="H5" s="27" t="s">
        <v>478</v>
      </c>
      <c r="I5" s="32" t="s">
        <v>157</v>
      </c>
      <c r="J5" s="27" t="s">
        <v>479</v>
      </c>
    </row>
    <row r="6" ht="33.0" customHeight="1">
      <c r="B6" s="36" t="s">
        <v>481</v>
      </c>
      <c r="C6" s="109" t="s">
        <v>483</v>
      </c>
      <c r="D6" s="38" t="s">
        <v>486</v>
      </c>
      <c r="E6" s="38" t="s">
        <v>488</v>
      </c>
      <c r="F6" s="108" t="s">
        <v>473</v>
      </c>
      <c r="G6" s="45" t="s">
        <v>23</v>
      </c>
      <c r="H6" s="38" t="s">
        <v>495</v>
      </c>
      <c r="I6" s="45" t="s">
        <v>157</v>
      </c>
      <c r="J6" s="38" t="s">
        <v>497</v>
      </c>
    </row>
    <row r="7" ht="33.0" customHeight="1">
      <c r="B7" s="23" t="s">
        <v>499</v>
      </c>
      <c r="C7" s="105" t="s">
        <v>500</v>
      </c>
      <c r="D7" s="27" t="s">
        <v>501</v>
      </c>
      <c r="E7" s="27" t="s">
        <v>503</v>
      </c>
      <c r="F7" s="104" t="s">
        <v>473</v>
      </c>
      <c r="G7" s="32" t="s">
        <v>23</v>
      </c>
      <c r="H7" s="27" t="s">
        <v>506</v>
      </c>
      <c r="I7" s="32" t="s">
        <v>157</v>
      </c>
      <c r="J7" s="27" t="s">
        <v>507</v>
      </c>
    </row>
    <row r="8" ht="33.0" customHeight="1">
      <c r="B8" s="36" t="s">
        <v>509</v>
      </c>
      <c r="C8" s="109" t="s">
        <v>510</v>
      </c>
      <c r="D8" s="38" t="s">
        <v>512</v>
      </c>
      <c r="E8" s="38" t="s">
        <v>514</v>
      </c>
      <c r="F8" s="108" t="s">
        <v>515</v>
      </c>
      <c r="G8" s="45" t="s">
        <v>23</v>
      </c>
      <c r="H8" s="38" t="s">
        <v>518</v>
      </c>
      <c r="I8" s="45" t="s">
        <v>157</v>
      </c>
      <c r="J8" s="38" t="s">
        <v>519</v>
      </c>
    </row>
    <row r="9" ht="33.0" customHeight="1">
      <c r="B9" s="23" t="s">
        <v>520</v>
      </c>
      <c r="C9" s="105" t="s">
        <v>521</v>
      </c>
      <c r="D9" s="27" t="s">
        <v>522</v>
      </c>
      <c r="E9" s="27" t="s">
        <v>524</v>
      </c>
      <c r="F9" s="104" t="s">
        <v>525</v>
      </c>
      <c r="G9" s="32" t="s">
        <v>23</v>
      </c>
      <c r="H9" s="27" t="s">
        <v>527</v>
      </c>
      <c r="I9" s="32" t="s">
        <v>157</v>
      </c>
      <c r="J9" s="27" t="s">
        <v>529</v>
      </c>
    </row>
    <row r="10" ht="33.0" customHeight="1">
      <c r="B10" s="36" t="s">
        <v>531</v>
      </c>
      <c r="C10" s="109" t="s">
        <v>532</v>
      </c>
      <c r="D10" s="38" t="s">
        <v>534</v>
      </c>
      <c r="E10" s="38" t="s">
        <v>535</v>
      </c>
      <c r="F10" s="108" t="s">
        <v>536</v>
      </c>
      <c r="G10" s="45" t="s">
        <v>23</v>
      </c>
      <c r="H10" s="38" t="s">
        <v>538</v>
      </c>
      <c r="I10" s="45" t="s">
        <v>157</v>
      </c>
      <c r="J10" s="38" t="s">
        <v>540</v>
      </c>
    </row>
    <row r="11" ht="33.0" customHeight="1">
      <c r="B11" s="23" t="s">
        <v>542</v>
      </c>
      <c r="C11" s="105" t="s">
        <v>544</v>
      </c>
      <c r="D11" s="27" t="s">
        <v>545</v>
      </c>
      <c r="E11" s="27" t="s">
        <v>547</v>
      </c>
      <c r="F11" s="104" t="s">
        <v>473</v>
      </c>
      <c r="G11" s="32" t="s">
        <v>23</v>
      </c>
      <c r="H11" s="27" t="s">
        <v>549</v>
      </c>
      <c r="I11" s="32" t="s">
        <v>157</v>
      </c>
      <c r="J11" s="27" t="s">
        <v>551</v>
      </c>
    </row>
    <row r="12" ht="33.0" customHeight="1">
      <c r="B12" s="36" t="s">
        <v>552</v>
      </c>
      <c r="C12" s="109" t="s">
        <v>553</v>
      </c>
      <c r="D12" s="38" t="s">
        <v>554</v>
      </c>
      <c r="E12" s="38" t="s">
        <v>555</v>
      </c>
      <c r="F12" s="108" t="s">
        <v>557</v>
      </c>
      <c r="G12" s="45" t="s">
        <v>23</v>
      </c>
      <c r="H12" s="38" t="s">
        <v>558</v>
      </c>
      <c r="I12" s="45" t="s">
        <v>157</v>
      </c>
      <c r="J12" s="38" t="s">
        <v>559</v>
      </c>
    </row>
    <row r="13" ht="33.0" customHeight="1">
      <c r="B13" s="23" t="s">
        <v>560</v>
      </c>
      <c r="C13" s="105" t="s">
        <v>561</v>
      </c>
      <c r="D13" s="27" t="s">
        <v>563</v>
      </c>
      <c r="E13" s="27" t="s">
        <v>564</v>
      </c>
      <c r="F13" s="104" t="s">
        <v>515</v>
      </c>
      <c r="G13" s="32" t="s">
        <v>23</v>
      </c>
      <c r="H13" s="27" t="s">
        <v>565</v>
      </c>
      <c r="I13" s="32" t="s">
        <v>157</v>
      </c>
      <c r="J13" s="27" t="s">
        <v>566</v>
      </c>
    </row>
    <row r="14" ht="33.0" customHeight="1">
      <c r="B14" s="36" t="s">
        <v>567</v>
      </c>
      <c r="C14" s="109" t="s">
        <v>568</v>
      </c>
      <c r="D14" s="38" t="s">
        <v>569</v>
      </c>
      <c r="E14" s="38" t="s">
        <v>570</v>
      </c>
      <c r="F14" s="108" t="s">
        <v>571</v>
      </c>
      <c r="G14" s="45" t="s">
        <v>23</v>
      </c>
      <c r="H14" s="38" t="s">
        <v>572</v>
      </c>
      <c r="I14" s="45" t="s">
        <v>157</v>
      </c>
      <c r="J14" s="38" t="s">
        <v>573</v>
      </c>
    </row>
    <row r="15" ht="26.25" customHeight="1"/>
    <row r="16" ht="26.25" customHeight="1"/>
    <row r="17" ht="26.25" customHeight="1"/>
    <row r="18" ht="26.25" customHeight="1"/>
    <row r="19" ht="26.25" customHeight="1"/>
    <row r="20" ht="26.25" customHeight="1"/>
    <row r="21" ht="26.25" customHeight="1"/>
    <row r="22" ht="26.25" customHeight="1"/>
    <row r="23" ht="26.25" customHeight="1"/>
    <row r="24" ht="26.25" customHeight="1"/>
    <row r="25" ht="26.25" customHeight="1"/>
    <row r="26" ht="26.25" customHeight="1"/>
    <row r="27" ht="26.25" customHeight="1"/>
    <row r="28" ht="26.25" customHeight="1"/>
    <row r="29" ht="26.25" customHeight="1"/>
    <row r="30" ht="26.25" customHeight="1"/>
  </sheetData>
  <mergeCells count="2">
    <mergeCell ref="B2:J2"/>
    <mergeCell ref="B3:J3"/>
  </mergeCells>
  <conditionalFormatting sqref="F5:F14">
    <cfRule type="cellIs" dxfId="0" priority="1" stopIfTrue="1" operator="equal">
      <formula>"PASS"</formula>
    </cfRule>
  </conditionalFormatting>
  <dataValidations>
    <dataValidation type="list" allowBlank="1" sqref="F5:F14">
      <formula1>"PASS,NEEDS REVIEW,INSUFFICIENT EVIDENCE"</formula1>
    </dataValidation>
    <dataValidation type="list" allowBlank="1" sqref="G5:G14">
      <formula1>"PASS,NEEDS REVIEW,INSUFFICIENT EVIDENCE"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2" t="s">
        <v>574</v>
      </c>
      <c r="D1" s="85" t="s">
        <v>575</v>
      </c>
    </row>
    <row r="2">
      <c r="A2" s="112" t="s">
        <v>576</v>
      </c>
      <c r="D2" s="85" t="s">
        <v>577</v>
      </c>
    </row>
    <row r="3">
      <c r="A3" s="112" t="s">
        <v>578</v>
      </c>
      <c r="D3" s="85" t="s">
        <v>579</v>
      </c>
    </row>
  </sheetData>
  <hyperlinks>
    <hyperlink r:id="rId1" ref="A1"/>
    <hyperlink r:id="rId2" ref="A2"/>
    <hyperlink r:id="rId3" ref="A3"/>
  </hyperlin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13"/>
    <col customWidth="1" min="2" max="2" width="14.5"/>
    <col customWidth="1" min="3" max="3" width="12.0"/>
    <col customWidth="1" min="4" max="4" width="21.38"/>
    <col customWidth="1" min="5" max="5" width="30.13"/>
    <col customWidth="1" min="6" max="6" width="17.63"/>
    <col customWidth="1" min="7" max="7" width="22.63"/>
    <col customWidth="1" min="8" max="8" width="25.13"/>
    <col customWidth="1" min="9" max="10" width="22.63"/>
    <col customWidth="1" min="11" max="11" width="16.38"/>
    <col customWidth="1" min="12" max="12" width="13.88"/>
    <col customWidth="1" min="13" max="13" width="13.25"/>
    <col customWidth="1" min="14" max="14" width="18.88"/>
  </cols>
  <sheetData>
    <row r="2" ht="28.5" customHeight="1">
      <c r="B2" s="113" t="s">
        <v>580</v>
      </c>
    </row>
    <row r="3" ht="19.5" customHeight="1">
      <c r="B3" s="114" t="s">
        <v>581</v>
      </c>
    </row>
    <row r="5" ht="18.0" customHeight="1">
      <c r="B5" s="115" t="s">
        <v>582</v>
      </c>
      <c r="D5" s="115" t="s">
        <v>583</v>
      </c>
      <c r="F5" s="115" t="s">
        <v>584</v>
      </c>
      <c r="H5" s="115" t="s">
        <v>585</v>
      </c>
    </row>
    <row r="6" ht="24.0" customHeight="1">
      <c r="B6" s="116" t="s">
        <v>586</v>
      </c>
      <c r="D6" s="116" t="s">
        <v>587</v>
      </c>
      <c r="F6" s="116" t="s">
        <v>189</v>
      </c>
      <c r="H6" s="117" t="s">
        <v>588</v>
      </c>
    </row>
    <row r="8" ht="16.5" customHeight="1">
      <c r="B8" s="118" t="s">
        <v>589</v>
      </c>
      <c r="E8" s="118" t="s">
        <v>590</v>
      </c>
      <c r="H8" s="118" t="s">
        <v>591</v>
      </c>
      <c r="K8" s="118" t="s">
        <v>592</v>
      </c>
    </row>
    <row r="9" ht="27.0" customHeight="1">
      <c r="B9" s="119" t="str">
        <f>IF(B6="ALL CHAMBERS", COUNTIF(Master_Knowledge_Objects!D5:D25, "*MODE 3*"), COUNTIFS(Master_Knowledge_Objects!D5:D25, "*MODE 3*", Master_Knowledge_Objects!E5:E25, B6)) &amp; " Active Dossiers"</f>
        <v>4 Active Dossiers</v>
      </c>
      <c r="E9" s="119" t="str">
        <f>ROUND(COUNTIF(F13:F20, "QUESTION OF LAW") / MAX(1, COUNTA(B13:B20)) * 100, 1) &amp; "% (Judex Juris)"</f>
        <v>75% (Judex Juris)</v>
      </c>
      <c r="H9" s="119" t="str">
        <f>COUNTIFS(B13:B20, "&lt;&gt;", B13:B20, "&lt;&gt;No matching*", F13:F20, "&lt;&gt;QUESTION OF LAW") &amp; " Issues (Judex Facti/Mixed)"</f>
        <v>1 Issues (Judex Facti/Mixed)</v>
      </c>
      <c r="K9" s="119" t="str">
        <f>COUNTIFS(Master_Knowledge_Objects!D5:D25, "*MODE 3*", Master_Knowledge_Objects!Q5:Q25, "PASS") &amp; " PASS • " &amp; COUNTIFS(Master_Knowledge_Objects!D5:D25, "*MODE 3*", Master_Knowledge_Objects!Q5:Q25, "NEEDS REVIEW") &amp; " Needs Review"</f>
        <v>1 PASS • 3 Needs Review</v>
      </c>
    </row>
    <row r="11" ht="21.0" customHeight="1">
      <c r="B11" s="122" t="s">
        <v>596</v>
      </c>
    </row>
    <row r="12" ht="24.0" customHeight="1">
      <c r="B12" s="123" t="s">
        <v>15</v>
      </c>
      <c r="C12" s="123" t="s">
        <v>25</v>
      </c>
      <c r="D12" s="123" t="s">
        <v>602</v>
      </c>
      <c r="E12" s="123" t="s">
        <v>603</v>
      </c>
      <c r="F12" s="123" t="s">
        <v>604</v>
      </c>
      <c r="G12" s="123" t="s">
        <v>606</v>
      </c>
      <c r="H12" s="123" t="s">
        <v>607</v>
      </c>
      <c r="I12" s="123" t="s">
        <v>608</v>
      </c>
      <c r="J12" s="123" t="s">
        <v>610</v>
      </c>
      <c r="K12" s="123" t="s">
        <v>611</v>
      </c>
      <c r="L12" s="123" t="s">
        <v>612</v>
      </c>
      <c r="M12" s="123" t="s">
        <v>459</v>
      </c>
      <c r="N12" s="123" t="s">
        <v>614</v>
      </c>
    </row>
    <row r="13" ht="36.0" customHeight="1">
      <c r="B13" s="124" t="str">
        <f>IFERROR(__xludf.DUMMYFUNCTION("IFERROR(FILTER(Master_Knowledge_Objects!B5:B25, ISNUMBER(SEARCH(""MODE 3"", Master_Knowledge_Objects!D5:D25)), IF(B6=""ALL CHAMBERS"", ROW(Master_Knowledge_Objects!B5:B25)&gt;0, Master_Knowledge_Objects!E5:E25=B6)), ""No matching cassation records found"")"),"IJC-CAS-003")</f>
        <v>IJC-CAS-003</v>
      </c>
      <c r="C13" s="124" t="str">
        <f>IF(OR(B13="", B13="No matching cassation records found"), "", VLOOKUP(B13, Master_Knowledge_Objects!B5:S25, 4, FALSE))</f>
        <v>PIDANA</v>
      </c>
      <c r="D13" s="124" t="str">
        <f>IF(OR(B13="", B13="No matching cassation records found"), "", VLOOKUP(B13, Master_Knowledge_Objects!B5:S25, 9, FALSE))</f>
        <v>Berkas Kasasi No. 89 K/Pid.Sus/2026</v>
      </c>
      <c r="E13" s="124" t="str">
        <f>IF(OR(B13="", B13="No matching cassation records found"), "", VLOOKUP(B13, Master_Knowledge_Objects!B5:S25, 2, FALSE))</f>
        <v>Pemilahan Kasasi: Keabsahan Akuisisi Bukti Elektronik vs Penilaian Fakta</v>
      </c>
      <c r="F13" s="124" t="str">
        <f t="shared" ref="F13:F22" si="1">IF(OR(B13="", B13="No matching cassation records found"), "", IF(B13="IJC-CAS-003", "QUESTION OF LAW", IF(B13="IJC-CAS-007", "MIXED / UNCLEAR", "QUESTION OF LAW")))</f>
        <v>QUESTION OF LAW</v>
      </c>
      <c r="G13" s="124" t="str">
        <f>IF(OR(B13="", B13="No matching cassation records found"), "", VLOOKUP(B13, Master_Knowledge_Objects!B5:S25, 6, FALSE))</f>
        <v>Electronic Evidence Admissibility (UU ITE &amp; KUHAP 2025)</v>
      </c>
      <c r="H13" s="124" t="str">
        <f>IF(OR(B13="", B13="No matching cassation records found"), "", VLOOKUP(B13, Master_Knowledge_Objects!B5:S25, 11, FALSE))</f>
        <v>Ekstraksi log diperoleh tanpa berita acara penyitaan dan tanpa izin penggeledahan.</v>
      </c>
      <c r="I13" s="124" t="str">
        <f>IF(OR(B13="", B13="No matching cassation records found"), "", VLOOKUP(B13, Master_Knowledge_Objects!B5:S25, 12, FALSE))</f>
        <v>Potensi pelanggaran due process of law dalam akuisisi bukti digital.</v>
      </c>
      <c r="J13" s="124" t="str">
        <f>IF(OR(B13="", B13="No matching cassation records found"), "", VLOOKUP(B13, Master_Knowledge_Objects!B5:S25, 13, FALSE))</f>
        <v>Apakah pelanggaran akuisisi membatalkan seluruh konstruksi dakwaan penipuan.</v>
      </c>
      <c r="K13" s="124" t="str">
        <f>IF(OR(B13="", B13="No matching cassation records found"), "", VLOOKUP(B13, Master_Knowledge_Objects!B5:S25, 15, FALSE))</f>
        <v>Non-Binding Triage</v>
      </c>
      <c r="L13" s="124" t="str">
        <f>IF(OR(B13="", B13="No matching cassation records found"), "", VLOOKUP(B13, Master_Knowledge_Objects!B5:S25, 17, FALSE))</f>
        <v>Cecep Mustafa</v>
      </c>
      <c r="M13" s="124" t="str">
        <f>IF(OR(B13="", B13="No matching cassation records found"), "", VLOOKUP(B13, Master_Knowledge_Objects!B5:S25, 16, FALSE))</f>
        <v>NEEDS REVIEW</v>
      </c>
      <c r="N13" s="124" t="str">
        <f t="shared" ref="N13:N22" si="2">IF(OR(B13="", B13="No matching cassation records found"), "", IF(M13="PASS", "APPROVED FOR DOCKET", "AUDIT / REVIEW REQUIRED"))</f>
        <v>AUDIT / REVIEW REQUIRED</v>
      </c>
    </row>
    <row r="14" ht="36.0" customHeight="1">
      <c r="B14" s="124" t="str">
        <f>IFERROR(__xludf.DUMMYFUNCTION("""COMPUTED_VALUE"""),"IJC-CAS-007")</f>
        <v>IJC-CAS-007</v>
      </c>
      <c r="C14" s="124" t="str">
        <f>IF(OR(B14="", B14="No matching cassation records found"), "", VLOOKUP(B14, Master_Knowledge_Objects!B5:S25, 4, FALSE))</f>
        <v>PIDANA</v>
      </c>
      <c r="D14" s="124" t="str">
        <f>IF(OR(B14="", B14="No matching cassation records found"), "", VLOOKUP(B14, Master_Knowledge_Objects!B5:S25, 9, FALSE))</f>
        <v>Berkas Kasasi No. 142 K/Pid.Sus/2026</v>
      </c>
      <c r="E14" s="124" t="str">
        <f>IF(OR(B14="", B14="No matching cassation records found"), "", VLOOKUP(B14, Master_Knowledge_Objects!B5:S25, 2, FALSE))</f>
        <v>Pemilahan Kasasi: Penilaian Kualifikasi Ahli AI &amp; Reprodusibilitas Metodologi</v>
      </c>
      <c r="F14" s="124" t="str">
        <f t="shared" si="1"/>
        <v>MIXED / UNCLEAR</v>
      </c>
      <c r="G14" s="124" t="str">
        <f>IF(OR(B14="", B14="No matching cassation records found"), "", VLOOKUP(B14, Master_Knowledge_Objects!B5:S25, 6, FALSE))</f>
        <v>AI Expert Testimony &amp; Scientific Reliability</v>
      </c>
      <c r="H14" s="124" t="str">
        <f>IF(OR(B14="", B14="No matching cassation records found"), "", VLOOKUP(B14, Master_Knowledge_Objects!B5:S25, 11, FALSE))</f>
        <v>Laporan ahli tidak menyertakan versi model detektor dan dataset evaluasi kalibrasi.</v>
      </c>
      <c r="I14" s="124" t="str">
        <f>IF(OR(B14="", B14="No matching cassation records found"), "", VLOOKUP(B14, Master_Knowledge_Objects!B5:S25, 12, FALSE))</f>
        <v>Metodologi analisis AI tidak memenuhi standar reprodusibilitas forensik SWGDE.</v>
      </c>
      <c r="J14" s="124" t="str">
        <f>IF(OR(B14="", B14="No matching cassation records found"), "", VLOOKUP(B14, Master_Knowledge_Objects!B5:S25, 13, FALSE))</f>
        <v>Apakah ketiadaan versi model disebabkan oleh sifat model proprietary tertutup.</v>
      </c>
      <c r="K14" s="124" t="str">
        <f>IF(OR(B14="", B14="No matching cassation records found"), "", VLOOKUP(B14, Master_Knowledge_Objects!B5:S25, 15, FALSE))</f>
        <v>Non-Binding Triage</v>
      </c>
      <c r="L14" s="124" t="str">
        <f>IF(OR(B14="", B14="No matching cassation records found"), "", VLOOKUP(B14, Master_Knowledge_Objects!B5:S25, 17, FALSE))</f>
        <v>Cecep Mustafa</v>
      </c>
      <c r="M14" s="124" t="str">
        <f>IF(OR(B14="", B14="No matching cassation records found"), "", VLOOKUP(B14, Master_Knowledge_Objects!B5:S25, 16, FALSE))</f>
        <v>NEEDS REVIEW</v>
      </c>
      <c r="N14" s="124" t="str">
        <f t="shared" si="2"/>
        <v>AUDIT / REVIEW REQUIRED</v>
      </c>
    </row>
    <row r="15" ht="36.0" customHeight="1">
      <c r="B15" s="124" t="str">
        <f>IFERROR(__xludf.DUMMYFUNCTION("""COMPUTED_VALUE"""),"IJC-CAS-009")</f>
        <v>IJC-CAS-009</v>
      </c>
      <c r="C15" s="124" t="str">
        <f>IF(OR(B15="", B15="No matching cassation records found"), "", VLOOKUP(B15, Master_Knowledge_Objects!B5:S25, 4, FALSE))</f>
        <v>PERDATA</v>
      </c>
      <c r="D15" s="124" t="str">
        <f>IF(OR(B15="", B15="No matching cassation records found"), "", VLOOKUP(B15, Master_Knowledge_Objects!B5:S25, 9, FALSE))</f>
        <v>Berkas Kasasi No. 315 K/Pdt.Sus-Pailit/2026</v>
      </c>
      <c r="E15" s="124" t="str">
        <f>IF(OR(B15="", B15="No matching cassation records found"), "", VLOOKUP(B15, Master_Knowledge_Objects!B5:S25, 2, FALSE))</f>
        <v>Pemilahan Kasasi: Penerapan Syarat Formil PKPU vs Penilaian Insolvensi Debitur</v>
      </c>
      <c r="F15" s="124" t="str">
        <f t="shared" si="1"/>
        <v>QUESTION OF LAW</v>
      </c>
      <c r="G15" s="124" t="str">
        <f>IF(OR(B15="", B15="No matching cassation records found"), "", VLOOKUP(B15, Master_Knowledge_Objects!B5:S25, 6, FALSE))</f>
        <v>Insolvency Threshold &amp; Due Process (UU Kepailitan &amp; PKPU)</v>
      </c>
      <c r="H15" s="124" t="str">
        <f>IF(OR(B15="", B15="No matching cassation records found"), "", VLOOKUP(B15, Master_Knowledge_Objects!B5:S25, 11, FALSE))</f>
        <v>Debitur terbukti memiliki 2 kreditur dan 1 utang telah jatuh tempo dan dapat ditagih.</v>
      </c>
      <c r="I15" s="124" t="str">
        <f>IF(OR(B15="", B15="No matching cassation records found"), "", VLOOKUP(B15, Master_Knowledge_Objects!B5:S25, 12, FALSE))</f>
        <v>Judex facti telah menerapkan hukum pembuktian secara benar tanpa melampaui kewenangan.</v>
      </c>
      <c r="J15" s="124" t="str">
        <f>IF(OR(B15="", B15="No matching cassation records found"), "", VLOOKUP(B15, Master_Knowledge_Objects!B5:S25, 13, FALSE))</f>
        <v>Nilai valuasi aset likuid debitur saat permohonan PKPU didaftarkan.</v>
      </c>
      <c r="K15" s="124" t="str">
        <f>IF(OR(B15="", B15="No matching cassation records found"), "", VLOOKUP(B15, Master_Knowledge_Objects!B5:S25, 15, FALSE))</f>
        <v>Non-Binding Triage</v>
      </c>
      <c r="L15" s="124" t="str">
        <f>IF(OR(B15="", B15="No matching cassation records found"), "", VLOOKUP(B15, Master_Knowledge_Objects!B5:S25, 17, FALSE))</f>
        <v>Cecep Mustafa</v>
      </c>
      <c r="M15" s="124" t="str">
        <f>IF(OR(B15="", B15="No matching cassation records found"), "", VLOOKUP(B15, Master_Knowledge_Objects!B5:S25, 16, FALSE))</f>
        <v>PASS</v>
      </c>
      <c r="N15" s="124" t="str">
        <f t="shared" si="2"/>
        <v>APPROVED FOR DOCKET</v>
      </c>
    </row>
    <row r="16" ht="36.0" customHeight="1">
      <c r="B16" s="124" t="str">
        <f>IFERROR(__xludf.DUMMYFUNCTION("""COMPUTED_VALUE"""),"IJC-CAS-010")</f>
        <v>IJC-CAS-010</v>
      </c>
      <c r="C16" s="124" t="str">
        <f>IF(OR(B16="", B16="No matching cassation records found"), "", VLOOKUP(B16, Master_Knowledge_Objects!B5:S25, 4, FALSE))</f>
        <v>TUN</v>
      </c>
      <c r="D16" s="124" t="str">
        <f>IF(OR(B16="", B16="No matching cassation records found"), "", VLOOKUP(B16, Master_Knowledge_Objects!B5:S25, 9, FALSE))</f>
        <v>Berkas Kasasi No. 54 K/TUN/2026</v>
      </c>
      <c r="E16" s="124" t="str">
        <f>IF(OR(B16="", B16="No matching cassation records found"), "", VLOOKUP(B16, Master_Knowledge_Objects!B5:S25, 2, FALSE))</f>
        <v>Pemilahan Kasasi: Keabsahan Keputusan Pejabat Tata Usaha Negara Berbasis Algoritma</v>
      </c>
      <c r="F16" s="124" t="str">
        <f t="shared" si="1"/>
        <v>QUESTION OF LAW</v>
      </c>
      <c r="G16" s="124" t="str">
        <f>IF(OR(B16="", B16="No matching cassation records found"), "", VLOOKUP(B16, Master_Knowledge_Objects!B5:S25, 6, FALSE))</f>
        <v>Automated Decision Making (AUPB &amp; UU AP)</v>
      </c>
      <c r="H16" s="124" t="str">
        <f>IF(OR(B16="", B16="No matching cassation records found"), "", VLOOKUP(B16, Master_Knowledge_Objects!B5:S25, 11, FALSE))</f>
        <v>SK Penolakan Izin diterbitkan sepenuhnya oleh sistem tanpa verifikasi manusia (zero human review).</v>
      </c>
      <c r="I16" s="124" t="str">
        <f>IF(OR(B16="", B16="No matching cassation records found"), "", VLOOKUP(B16, Master_Knowledge_Objects!B5:S25, 12, FALSE))</f>
        <v>Pelanggaran asas kecermatan dan motivasi karena ketiadaan penjelasan rasional keputusan (explainability).</v>
      </c>
      <c r="J16" s="124" t="str">
        <f>IF(OR(B16="", B16="No matching cassation records found"), "", VLOOKUP(B16, Master_Knowledge_Objects!B5:S25, 13, FALSE))</f>
        <v>Parameter bobot teknis algoritma internal kementerian pengembang.</v>
      </c>
      <c r="K16" s="124" t="str">
        <f>IF(OR(B16="", B16="No matching cassation records found"), "", VLOOKUP(B16, Master_Knowledge_Objects!B5:S25, 15, FALSE))</f>
        <v>Non-Binding Triage</v>
      </c>
      <c r="L16" s="124" t="str">
        <f>IF(OR(B16="", B16="No matching cassation records found"), "", VLOOKUP(B16, Master_Knowledge_Objects!B5:S25, 17, FALSE))</f>
        <v>Cecep Mustafa</v>
      </c>
      <c r="M16" s="124" t="str">
        <f>IF(OR(B16="", B16="No matching cassation records found"), "", VLOOKUP(B16, Master_Knowledge_Objects!B5:S25, 16, FALSE))</f>
        <v>NEEDS REVIEW</v>
      </c>
      <c r="N16" s="124" t="str">
        <f t="shared" si="2"/>
        <v>AUDIT / REVIEW REQUIRED</v>
      </c>
    </row>
    <row r="17">
      <c r="B17" s="124"/>
      <c r="C17" s="124" t="str">
        <f>IF(OR(B17="", B17="No matching cassation records found"), "", VLOOKUP(B17, Master_Knowledge_Objects!B5:S25, 4, FALSE))</f>
        <v/>
      </c>
      <c r="D17" s="124" t="str">
        <f>IF(OR(B17="", B17="No matching cassation records found"), "", VLOOKUP(B17, Master_Knowledge_Objects!B5:S25, 9, FALSE))</f>
        <v/>
      </c>
      <c r="E17" s="124" t="str">
        <f>IF(OR(B17="", B17="No matching cassation records found"), "", VLOOKUP(B17, Master_Knowledge_Objects!B5:S25, 2, FALSE))</f>
        <v/>
      </c>
      <c r="F17" s="124" t="str">
        <f t="shared" si="1"/>
        <v/>
      </c>
      <c r="G17" s="124" t="str">
        <f>IF(OR(B17="", B17="No matching cassation records found"), "", VLOOKUP(B17, Master_Knowledge_Objects!B5:S25, 6, FALSE))</f>
        <v/>
      </c>
      <c r="H17" s="124" t="str">
        <f>IF(OR(B17="", B17="No matching cassation records found"), "", VLOOKUP(B17, Master_Knowledge_Objects!B5:S25, 11, FALSE))</f>
        <v/>
      </c>
      <c r="I17" s="124" t="str">
        <f>IF(OR(B17="", B17="No matching cassation records found"), "", VLOOKUP(B17, Master_Knowledge_Objects!B5:S25, 12, FALSE))</f>
        <v/>
      </c>
      <c r="J17" s="124" t="str">
        <f>IF(OR(B17="", B17="No matching cassation records found"), "", VLOOKUP(B17, Master_Knowledge_Objects!B5:S25, 13, FALSE))</f>
        <v/>
      </c>
      <c r="K17" s="124" t="str">
        <f>IF(OR(B17="", B17="No matching cassation records found"), "", VLOOKUP(B17, Master_Knowledge_Objects!B5:S25, 15, FALSE))</f>
        <v/>
      </c>
      <c r="L17" s="124" t="str">
        <f>IF(OR(B17="", B17="No matching cassation records found"), "", VLOOKUP(B17, Master_Knowledge_Objects!B5:S25, 17, FALSE))</f>
        <v/>
      </c>
      <c r="M17" s="124" t="str">
        <f>IF(OR(B17="", B17="No matching cassation records found"), "", VLOOKUP(B17, Master_Knowledge_Objects!B5:S25, 16, FALSE))</f>
        <v/>
      </c>
      <c r="N17" s="124" t="str">
        <f t="shared" si="2"/>
        <v/>
      </c>
    </row>
    <row r="18">
      <c r="B18" s="124"/>
      <c r="C18" s="124" t="str">
        <f>IF(OR(B18="", B18="No matching cassation records found"), "", VLOOKUP(B18, Master_Knowledge_Objects!B5:S25, 4, FALSE))</f>
        <v/>
      </c>
      <c r="D18" s="124" t="str">
        <f>IF(OR(B18="", B18="No matching cassation records found"), "", VLOOKUP(B18, Master_Knowledge_Objects!B5:S25, 9, FALSE))</f>
        <v/>
      </c>
      <c r="E18" s="124" t="str">
        <f>IF(OR(B18="", B18="No matching cassation records found"), "", VLOOKUP(B18, Master_Knowledge_Objects!B5:S25, 2, FALSE))</f>
        <v/>
      </c>
      <c r="F18" s="124" t="str">
        <f t="shared" si="1"/>
        <v/>
      </c>
      <c r="G18" s="124" t="str">
        <f>IF(OR(B18="", B18="No matching cassation records found"), "", VLOOKUP(B18, Master_Knowledge_Objects!B5:S25, 6, FALSE))</f>
        <v/>
      </c>
      <c r="H18" s="124" t="str">
        <f>IF(OR(B18="", B18="No matching cassation records found"), "", VLOOKUP(B18, Master_Knowledge_Objects!B5:S25, 11, FALSE))</f>
        <v/>
      </c>
      <c r="I18" s="124" t="str">
        <f>IF(OR(B18="", B18="No matching cassation records found"), "", VLOOKUP(B18, Master_Knowledge_Objects!B5:S25, 12, FALSE))</f>
        <v/>
      </c>
      <c r="J18" s="124" t="str">
        <f>IF(OR(B18="", B18="No matching cassation records found"), "", VLOOKUP(B18, Master_Knowledge_Objects!B5:S25, 13, FALSE))</f>
        <v/>
      </c>
      <c r="K18" s="124" t="str">
        <f>IF(OR(B18="", B18="No matching cassation records found"), "", VLOOKUP(B18, Master_Knowledge_Objects!B5:S25, 15, FALSE))</f>
        <v/>
      </c>
      <c r="L18" s="124" t="str">
        <f>IF(OR(B18="", B18="No matching cassation records found"), "", VLOOKUP(B18, Master_Knowledge_Objects!B5:S25, 17, FALSE))</f>
        <v/>
      </c>
      <c r="M18" s="124" t="str">
        <f>IF(OR(B18="", B18="No matching cassation records found"), "", VLOOKUP(B18, Master_Knowledge_Objects!B5:S25, 16, FALSE))</f>
        <v/>
      </c>
      <c r="N18" s="124" t="str">
        <f t="shared" si="2"/>
        <v/>
      </c>
    </row>
    <row r="19">
      <c r="B19" s="124"/>
      <c r="C19" s="124" t="str">
        <f>IF(OR(B19="", B19="No matching cassation records found"), "", VLOOKUP(B19, Master_Knowledge_Objects!B5:S25, 4, FALSE))</f>
        <v/>
      </c>
      <c r="D19" s="124" t="str">
        <f>IF(OR(B19="", B19="No matching cassation records found"), "", VLOOKUP(B19, Master_Knowledge_Objects!B5:S25, 9, FALSE))</f>
        <v/>
      </c>
      <c r="E19" s="124" t="str">
        <f>IF(OR(B19="", B19="No matching cassation records found"), "", VLOOKUP(B19, Master_Knowledge_Objects!B5:S25, 2, FALSE))</f>
        <v/>
      </c>
      <c r="F19" s="124" t="str">
        <f t="shared" si="1"/>
        <v/>
      </c>
      <c r="G19" s="124" t="str">
        <f>IF(OR(B19="", B19="No matching cassation records found"), "", VLOOKUP(B19, Master_Knowledge_Objects!B5:S25, 6, FALSE))</f>
        <v/>
      </c>
      <c r="H19" s="124" t="str">
        <f>IF(OR(B19="", B19="No matching cassation records found"), "", VLOOKUP(B19, Master_Knowledge_Objects!B5:S25, 11, FALSE))</f>
        <v/>
      </c>
      <c r="I19" s="124" t="str">
        <f>IF(OR(B19="", B19="No matching cassation records found"), "", VLOOKUP(B19, Master_Knowledge_Objects!B5:S25, 12, FALSE))</f>
        <v/>
      </c>
      <c r="J19" s="124" t="str">
        <f>IF(OR(B19="", B19="No matching cassation records found"), "", VLOOKUP(B19, Master_Knowledge_Objects!B5:S25, 13, FALSE))</f>
        <v/>
      </c>
      <c r="K19" s="124" t="str">
        <f>IF(OR(B19="", B19="No matching cassation records found"), "", VLOOKUP(B19, Master_Knowledge_Objects!B5:S25, 15, FALSE))</f>
        <v/>
      </c>
      <c r="L19" s="124" t="str">
        <f>IF(OR(B19="", B19="No matching cassation records found"), "", VLOOKUP(B19, Master_Knowledge_Objects!B5:S25, 17, FALSE))</f>
        <v/>
      </c>
      <c r="M19" s="124" t="str">
        <f>IF(OR(B19="", B19="No matching cassation records found"), "", VLOOKUP(B19, Master_Knowledge_Objects!B5:S25, 16, FALSE))</f>
        <v/>
      </c>
      <c r="N19" s="124" t="str">
        <f t="shared" si="2"/>
        <v/>
      </c>
    </row>
    <row r="20">
      <c r="B20" s="124"/>
      <c r="C20" s="124" t="str">
        <f>IF(OR(B20="", B20="No matching cassation records found"), "", VLOOKUP(B20, Master_Knowledge_Objects!B5:S25, 4, FALSE))</f>
        <v/>
      </c>
      <c r="D20" s="124" t="str">
        <f>IF(OR(B20="", B20="No matching cassation records found"), "", VLOOKUP(B20, Master_Knowledge_Objects!B5:S25, 9, FALSE))</f>
        <v/>
      </c>
      <c r="E20" s="124" t="str">
        <f>IF(OR(B20="", B20="No matching cassation records found"), "", VLOOKUP(B20, Master_Knowledge_Objects!B5:S25, 2, FALSE))</f>
        <v/>
      </c>
      <c r="F20" s="124" t="str">
        <f t="shared" si="1"/>
        <v/>
      </c>
      <c r="G20" s="124" t="str">
        <f>IF(OR(B20="", B20="No matching cassation records found"), "", VLOOKUP(B20, Master_Knowledge_Objects!B5:S25, 6, FALSE))</f>
        <v/>
      </c>
      <c r="H20" s="124" t="str">
        <f>IF(OR(B20="", B20="No matching cassation records found"), "", VLOOKUP(B20, Master_Knowledge_Objects!B5:S25, 11, FALSE))</f>
        <v/>
      </c>
      <c r="I20" s="124" t="str">
        <f>IF(OR(B20="", B20="No matching cassation records found"), "", VLOOKUP(B20, Master_Knowledge_Objects!B5:S25, 12, FALSE))</f>
        <v/>
      </c>
      <c r="J20" s="124" t="str">
        <f>IF(OR(B20="", B20="No matching cassation records found"), "", VLOOKUP(B20, Master_Knowledge_Objects!B5:S25, 13, FALSE))</f>
        <v/>
      </c>
      <c r="K20" s="124" t="str">
        <f>IF(OR(B20="", B20="No matching cassation records found"), "", VLOOKUP(B20, Master_Knowledge_Objects!B5:S25, 15, FALSE))</f>
        <v/>
      </c>
      <c r="L20" s="124" t="str">
        <f>IF(OR(B20="", B20="No matching cassation records found"), "", VLOOKUP(B20, Master_Knowledge_Objects!B5:S25, 17, FALSE))</f>
        <v/>
      </c>
      <c r="M20" s="124" t="str">
        <f>IF(OR(B20="", B20="No matching cassation records found"), "", VLOOKUP(B20, Master_Knowledge_Objects!B5:S25, 16, FALSE))</f>
        <v/>
      </c>
      <c r="N20" s="124" t="str">
        <f t="shared" si="2"/>
        <v/>
      </c>
    </row>
    <row r="21">
      <c r="B21" s="124"/>
      <c r="C21" s="124" t="str">
        <f>IF(OR(B21="", B21="No matching cassation records found"), "", VLOOKUP(B21, Master_Knowledge_Objects!B5:S25, 4, FALSE))</f>
        <v/>
      </c>
      <c r="D21" s="124" t="str">
        <f>IF(OR(B21="", B21="No matching cassation records found"), "", VLOOKUP(B21, Master_Knowledge_Objects!B5:S25, 9, FALSE))</f>
        <v/>
      </c>
      <c r="E21" s="124" t="str">
        <f>IF(OR(B21="", B21="No matching cassation records found"), "", VLOOKUP(B21, Master_Knowledge_Objects!B5:S25, 2, FALSE))</f>
        <v/>
      </c>
      <c r="F21" s="124" t="str">
        <f t="shared" si="1"/>
        <v/>
      </c>
      <c r="G21" s="124" t="str">
        <f>IF(OR(B21="", B21="No matching cassation records found"), "", VLOOKUP(B21, Master_Knowledge_Objects!B5:S25, 6, FALSE))</f>
        <v/>
      </c>
      <c r="H21" s="124" t="str">
        <f>IF(OR(B21="", B21="No matching cassation records found"), "", VLOOKUP(B21, Master_Knowledge_Objects!B5:S25, 11, FALSE))</f>
        <v/>
      </c>
      <c r="I21" s="124" t="str">
        <f>IF(OR(B21="", B21="No matching cassation records found"), "", VLOOKUP(B21, Master_Knowledge_Objects!B5:S25, 12, FALSE))</f>
        <v/>
      </c>
      <c r="J21" s="124" t="str">
        <f>IF(OR(B21="", B21="No matching cassation records found"), "", VLOOKUP(B21, Master_Knowledge_Objects!B5:S25, 13, FALSE))</f>
        <v/>
      </c>
      <c r="K21" s="124" t="str">
        <f>IF(OR(B21="", B21="No matching cassation records found"), "", VLOOKUP(B21, Master_Knowledge_Objects!B5:S25, 15, FALSE))</f>
        <v/>
      </c>
      <c r="L21" s="124" t="str">
        <f>IF(OR(B21="", B21="No matching cassation records found"), "", VLOOKUP(B21, Master_Knowledge_Objects!B5:S25, 17, FALSE))</f>
        <v/>
      </c>
      <c r="M21" s="124" t="str">
        <f>IF(OR(B21="", B21="No matching cassation records found"), "", VLOOKUP(B21, Master_Knowledge_Objects!B5:S25, 16, FALSE))</f>
        <v/>
      </c>
      <c r="N21" s="124" t="str">
        <f t="shared" si="2"/>
        <v/>
      </c>
    </row>
    <row r="22">
      <c r="B22" s="124"/>
      <c r="C22" s="124" t="str">
        <f>IF(OR(B22="", B22="No matching cassation records found"), "", VLOOKUP(B22, Master_Knowledge_Objects!B5:S25, 4, FALSE))</f>
        <v/>
      </c>
      <c r="D22" s="124" t="str">
        <f>IF(OR(B22="", B22="No matching cassation records found"), "", VLOOKUP(B22, Master_Knowledge_Objects!B5:S25, 9, FALSE))</f>
        <v/>
      </c>
      <c r="E22" s="124" t="str">
        <f>IF(OR(B22="", B22="No matching cassation records found"), "", VLOOKUP(B22, Master_Knowledge_Objects!B5:S25, 2, FALSE))</f>
        <v/>
      </c>
      <c r="F22" s="124" t="str">
        <f t="shared" si="1"/>
        <v/>
      </c>
      <c r="G22" s="124" t="str">
        <f>IF(OR(B22="", B22="No matching cassation records found"), "", VLOOKUP(B22, Master_Knowledge_Objects!B5:S25, 6, FALSE))</f>
        <v/>
      </c>
      <c r="H22" s="124" t="str">
        <f>IF(OR(B22="", B22="No matching cassation records found"), "", VLOOKUP(B22, Master_Knowledge_Objects!B5:S25, 11, FALSE))</f>
        <v/>
      </c>
      <c r="I22" s="124" t="str">
        <f>IF(OR(B22="", B22="No matching cassation records found"), "", VLOOKUP(B22, Master_Knowledge_Objects!B5:S25, 12, FALSE))</f>
        <v/>
      </c>
      <c r="J22" s="124" t="str">
        <f>IF(OR(B22="", B22="No matching cassation records found"), "", VLOOKUP(B22, Master_Knowledge_Objects!B5:S25, 13, FALSE))</f>
        <v/>
      </c>
      <c r="K22" s="124" t="str">
        <f>IF(OR(B22="", B22="No matching cassation records found"), "", VLOOKUP(B22, Master_Knowledge_Objects!B5:S25, 15, FALSE))</f>
        <v/>
      </c>
      <c r="L22" s="124" t="str">
        <f>IF(OR(B22="", B22="No matching cassation records found"), "", VLOOKUP(B22, Master_Knowledge_Objects!B5:S25, 17, FALSE))</f>
        <v/>
      </c>
      <c r="M22" s="124" t="str">
        <f>IF(OR(B22="", B22="No matching cassation records found"), "", VLOOKUP(B22, Master_Knowledge_Objects!B5:S25, 16, FALSE))</f>
        <v/>
      </c>
      <c r="N22" s="124" t="str">
        <f t="shared" si="2"/>
        <v/>
      </c>
    </row>
    <row r="24">
      <c r="B24" s="125" t="str">
        <f>"📋 INDIVIDUAL CASSATION TRIAGE DOSSIER (DEEP EXAMINATION) — " &amp; F6 &amp; " : " &amp; VLOOKUP(F6, Master_Knowledge_Objects!B5:S25, 2, FALSE)</f>
        <v>📋 INDIVIDUAL CASSATION TRIAGE DOSSIER (DEEP EXAMINATION) — IJC-CAS-003 : Pemilahan Kasasi: Keabsahan Akuisisi Bukti Elektronik vs Penilaian Fakta</v>
      </c>
    </row>
    <row r="25">
      <c r="B25" s="85" t="s">
        <v>618</v>
      </c>
      <c r="E25" s="85" t="s">
        <v>619</v>
      </c>
      <c r="I25" s="85" t="s">
        <v>620</v>
      </c>
      <c r="L25" s="85" t="s">
        <v>621</v>
      </c>
    </row>
    <row r="26">
      <c r="B26" s="126" t="str">
        <f>VLOOKUP(F6, Master_Knowledge_Objects!B5:S25, 9, FALSE)</f>
        <v>Berkas Kasasi No. 89 K/Pid.Sus/2026</v>
      </c>
      <c r="E26" s="126" t="str">
        <f>VLOOKUP(F6, Master_Knowledge_Objects!B5:S25, 6, FALSE) &amp; " (" &amp; VLOOKUP(F6, Master_Knowledge_Objects!B5:S25, 5, FALSE) &amp; ")"</f>
        <v>Electronic Evidence Admissibility (UU ITE &amp; KUHAP 2025) (Pidana Khusus / Hukum Acara)</v>
      </c>
      <c r="I26" s="126" t="str">
        <f>VLOOKUP(F6, Master_Knowledge_Objects!B5:S25, 8, FALSE) &amp; " • " &amp; VLOOKUP(F6, Master_Knowledge_Objects!B5:S25, 4, FALSE)</f>
        <v>MA RI - Kamar Pidana • PIDANA</v>
      </c>
      <c r="L26" s="126" t="str">
        <f>VLOOKUP(F6, Master_Knowledge_Objects!B5:S25, 16, FALSE) &amp; " • " &amp; VLOOKUP(F6, Master_Knowledge_Objects!B5:S25, 17, FALSE)</f>
        <v>NEEDS REVIEW • Cecep Mustafa</v>
      </c>
    </row>
    <row r="27">
      <c r="B27" s="127" t="s">
        <v>622</v>
      </c>
    </row>
    <row r="28">
      <c r="B28" s="128" t="s">
        <v>623</v>
      </c>
      <c r="F28" s="128" t="s">
        <v>624</v>
      </c>
      <c r="J28" s="128" t="s">
        <v>625</v>
      </c>
    </row>
    <row r="29">
      <c r="B29" s="129" t="str">
        <f>VLOOKUP(F6, Master_Knowledge_Objects!B5:S25, 11, FALSE)</f>
        <v>Ekstraksi log diperoleh tanpa berita acara penyitaan dan tanpa izin penggeledahan.</v>
      </c>
      <c r="F29" s="129" t="str">
        <f>VLOOKUP(F6, Master_Knowledge_Objects!B5:S25, 12, FALSE)</f>
        <v>Potensi pelanggaran due process of law dalam akuisisi bukti digital.</v>
      </c>
      <c r="J29" s="129" t="str">
        <f>VLOOKUP(F6, Master_Knowledge_Objects!B5:S25, 13, FALSE)</f>
        <v>Apakah pelanggaran akuisisi membatalkan seluruh konstruksi dakwaan penipuan.</v>
      </c>
    </row>
    <row r="31">
      <c r="B31" s="128" t="s">
        <v>626</v>
      </c>
      <c r="F31" s="128" t="s">
        <v>627</v>
      </c>
      <c r="J31" s="128" t="s">
        <v>628</v>
      </c>
    </row>
    <row r="32">
      <c r="B32" s="129" t="str">
        <f>IF(F6="IJC-CAS-003", "QUESTION OF LAW (Judex Juris) • Unlawfully Obtained Electronic Evidence (Pasal 235 &amp; 242 KUHAP Baru)", IF(F6="IJC-CAS-007", "MIXED / UNCLEAR • AI Expert Qualifications vs Weight of Evidence", IF(F6="IJC-CAS-009", "QUESTION OF LAW (Judex Juris) • Commercial Insolvency Threshold (Ps 8 ayat 4)", "QUESTION OF LAW (Judex Juris) • Algorithmic Administrative Decision Legality")))</f>
        <v>QUESTION OF LAW (Judex Juris) • Unlawfully Obtained Electronic Evidence (Pasal 235 &amp; 242 KUHAP Baru)</v>
      </c>
      <c r="E32" s="126"/>
      <c r="F32" s="129" t="str">
        <f>VLOOKUP(F6, Master_Knowledge_Objects!B5:S25, 10, FALSE)</f>
        <v>Pengujian hukum Pasal 5-6 UU ITE &amp; Pasal 235-242 KUHAP baru: pembedaan syarat keabsahan bukti elektronik dari fakta.</v>
      </c>
      <c r="J32" s="129" t="str">
        <f>"⚠️ NON-BINDING TRIAGE: Decision Support Only • No outcome prediction • Human judge retains sole adjudicative authority (IJC v5.0 §13). Gatekeeper: " &amp; VLOOKUP(F6, Master_Knowledge_Objects!B5:S25, 17, FALSE)</f>
        <v>⚠️ NON-BINDING TRIAGE: Decision Support Only • No outcome prediction • Human judge retains sole adjudicative authority (IJC v5.0 §13). Gatekeeper: Cecep Mustafa</v>
      </c>
    </row>
    <row r="34">
      <c r="B34" s="130" t="str">
        <f>"🔗 Universal Knowledge Pipeline: SOURCE → EVIDENCE → CLAIM → KNOWLEDGE OBJECT → RELATIONSHIP → GEO ANSWER → HUMAN VERIFICATION (IJC KO v5.0 §3) • Gatekeeper: " &amp; VLOOKUP(F6, Master_Knowledge_Objects!B5:S25, 17, FALSE) &amp; " • Status: " &amp; VLOOKUP(F6, Master_Knowledge_Objects!B5:S25, 16, FALSE)</f>
        <v>🔗 Universal Knowledge Pipeline: SOURCE → EVIDENCE → CLAIM → KNOWLEDGE OBJECT → RELATIONSHIP → GEO ANSWER → HUMAN VERIFICATION (IJC KO v5.0 §3) • Gatekeeper: Cecep Mustafa • Status: NEEDS REVIEW</v>
      </c>
    </row>
  </sheetData>
  <mergeCells count="42">
    <mergeCell ref="B2:N2"/>
    <mergeCell ref="B3:N3"/>
    <mergeCell ref="B5:C5"/>
    <mergeCell ref="D5:E5"/>
    <mergeCell ref="F5:G5"/>
    <mergeCell ref="H5:N5"/>
    <mergeCell ref="B6:C6"/>
    <mergeCell ref="H6:N6"/>
    <mergeCell ref="E9:G9"/>
    <mergeCell ref="H9:J9"/>
    <mergeCell ref="D6:E6"/>
    <mergeCell ref="F6:G6"/>
    <mergeCell ref="B8:D8"/>
    <mergeCell ref="E8:G8"/>
    <mergeCell ref="H8:J8"/>
    <mergeCell ref="K8:N8"/>
    <mergeCell ref="B9:D9"/>
    <mergeCell ref="K9:N9"/>
    <mergeCell ref="B11:N11"/>
    <mergeCell ref="B24:N24"/>
    <mergeCell ref="B25:D25"/>
    <mergeCell ref="E25:H25"/>
    <mergeCell ref="I25:K25"/>
    <mergeCell ref="L25:N25"/>
    <mergeCell ref="B26:D26"/>
    <mergeCell ref="E26:H26"/>
    <mergeCell ref="I26:K26"/>
    <mergeCell ref="L26:N26"/>
    <mergeCell ref="B27:N27"/>
    <mergeCell ref="F28:I28"/>
    <mergeCell ref="J28:N28"/>
    <mergeCell ref="B32:E33"/>
    <mergeCell ref="F32:I33"/>
    <mergeCell ref="J32:N33"/>
    <mergeCell ref="B34:N34"/>
    <mergeCell ref="B28:E28"/>
    <mergeCell ref="B29:E30"/>
    <mergeCell ref="F29:I30"/>
    <mergeCell ref="J29:N30"/>
    <mergeCell ref="B31:E31"/>
    <mergeCell ref="F31:I31"/>
    <mergeCell ref="J31:N31"/>
  </mergeCells>
  <conditionalFormatting sqref="M13:M22">
    <cfRule type="cellIs" dxfId="11" priority="1" stopIfTrue="1" operator="equal">
      <formula>"PASS"</formula>
    </cfRule>
  </conditionalFormatting>
  <conditionalFormatting sqref="M13:M22">
    <cfRule type="cellIs" dxfId="12" priority="2" stopIfTrue="1" operator="equal">
      <formula>"NEEDS REVIEW"</formula>
    </cfRule>
  </conditionalFormatting>
  <dataValidations>
    <dataValidation type="list" allowBlank="1" sqref="B6">
      <formula1>"ALL CHAMBERS,PIDANA,PERDATA,AGAMA,MILITER,TUN"</formula1>
    </dataValidation>
    <dataValidation type="list" allowBlank="1" sqref="F6">
      <formula1>"IJC-CAS-003,IJC-CAS-007,IJC-BHT-001,IJC-TRL-002,IJC-LRN-004,IJC-BHT-005,IJC-TRL-006,IJC-LRN-008"</formula1>
    </dataValidation>
    <dataValidation type="list" allowBlank="1" sqref="D6">
      <formula1>"ALL CLASSIFICATIONS,QUESTION OF LAW,QUESTION OF FACT,MIXED / UNCLEAR"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37.63"/>
  </cols>
  <sheetData>
    <row r="14" ht="22.5" customHeight="1">
      <c r="F14" s="120" t="s">
        <v>593</v>
      </c>
      <c r="G14" s="120" t="s">
        <v>594</v>
      </c>
    </row>
    <row r="15" ht="22.5" customHeight="1">
      <c r="F15" s="121" t="s">
        <v>595</v>
      </c>
      <c r="G15" s="121" t="s">
        <v>597</v>
      </c>
    </row>
    <row r="16" ht="22.5" customHeight="1">
      <c r="F16" s="121" t="s">
        <v>598</v>
      </c>
      <c r="G16" s="121" t="s">
        <v>599</v>
      </c>
    </row>
    <row r="17" ht="22.5" customHeight="1">
      <c r="F17" s="121" t="s">
        <v>600</v>
      </c>
      <c r="G17" s="121" t="s">
        <v>601</v>
      </c>
    </row>
    <row r="18" ht="22.5" customHeight="1">
      <c r="F18" s="121" t="s">
        <v>605</v>
      </c>
      <c r="G18" s="121" t="s">
        <v>609</v>
      </c>
    </row>
    <row r="19" ht="22.5" customHeight="1">
      <c r="F19" s="121" t="s">
        <v>613</v>
      </c>
      <c r="G19" s="121" t="s">
        <v>615</v>
      </c>
    </row>
    <row r="20" ht="22.5" customHeight="1">
      <c r="F20" s="121" t="s">
        <v>616</v>
      </c>
      <c r="G20" s="121" t="s">
        <v>617</v>
      </c>
    </row>
  </sheetData>
  <drawing r:id="rId1"/>
  <tableParts count="1">
    <tablePart r:id="rId3"/>
  </tableParts>
</worksheet>
</file>